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a\Desktop\"/>
    </mc:Choice>
  </mc:AlternateContent>
  <xr:revisionPtr revIDLastSave="0" documentId="13_ncr:1_{7B2C14E4-3D18-424B-91A2-9038ABB765BB}" xr6:coauthVersionLast="47" xr6:coauthVersionMax="47" xr10:uidLastSave="{00000000-0000-0000-0000-000000000000}"/>
  <bookViews>
    <workbookView minimized="1" xWindow="3240" yWindow="2640" windowWidth="17280" windowHeight="8880" firstSheet="1" activeTab="4" xr2:uid="{025186ED-C528-4B65-9CFB-EB7028A54F7D}"/>
  </bookViews>
  <sheets>
    <sheet name="Zaposleni" sheetId="1" r:id="rId1"/>
    <sheet name="Proizvodi" sheetId="2" r:id="rId2"/>
    <sheet name="Klijenti" sheetId="6" r:id="rId3"/>
    <sheet name="Prodaja" sheetId="8" r:id="rId4"/>
    <sheet name="Prodaja1" sheetId="10" r:id="rId5"/>
  </sheets>
  <externalReferences>
    <externalReference r:id="rId6"/>
  </externalReferences>
  <definedNames>
    <definedName name="_xlnm._FilterDatabase" localSheetId="3" hidden="1">Prodaja!$A$1:$F$297</definedName>
    <definedName name="_xlnm._FilterDatabase" localSheetId="0" hidden="1">Zaposleni!$A$1:$K$16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97" i="10" l="1"/>
  <c r="J297" i="10"/>
  <c r="H297" i="10"/>
  <c r="G297" i="10"/>
  <c r="K296" i="10"/>
  <c r="J296" i="10"/>
  <c r="H296" i="10"/>
  <c r="G296" i="10"/>
  <c r="K295" i="10"/>
  <c r="J295" i="10"/>
  <c r="H295" i="10"/>
  <c r="G295" i="10"/>
  <c r="K294" i="10"/>
  <c r="J294" i="10"/>
  <c r="H294" i="10"/>
  <c r="G294" i="10"/>
  <c r="K293" i="10"/>
  <c r="J293" i="10"/>
  <c r="H293" i="10"/>
  <c r="G293" i="10"/>
  <c r="K292" i="10"/>
  <c r="J292" i="10"/>
  <c r="H292" i="10"/>
  <c r="G292" i="10"/>
  <c r="K291" i="10"/>
  <c r="J291" i="10"/>
  <c r="H291" i="10"/>
  <c r="G291" i="10"/>
  <c r="K290" i="10"/>
  <c r="J290" i="10"/>
  <c r="H290" i="10"/>
  <c r="G290" i="10"/>
  <c r="K289" i="10"/>
  <c r="J289" i="10"/>
  <c r="H289" i="10"/>
  <c r="G289" i="10"/>
  <c r="K288" i="10"/>
  <c r="J288" i="10"/>
  <c r="H288" i="10"/>
  <c r="G288" i="10"/>
  <c r="K287" i="10"/>
  <c r="J287" i="10"/>
  <c r="H287" i="10"/>
  <c r="G287" i="10"/>
  <c r="K286" i="10"/>
  <c r="J286" i="10"/>
  <c r="H286" i="10"/>
  <c r="G286" i="10"/>
  <c r="K285" i="10"/>
  <c r="J285" i="10"/>
  <c r="H285" i="10"/>
  <c r="G285" i="10"/>
  <c r="K284" i="10"/>
  <c r="J284" i="10"/>
  <c r="H284" i="10"/>
  <c r="G284" i="10"/>
  <c r="K283" i="10"/>
  <c r="J283" i="10"/>
  <c r="H283" i="10"/>
  <c r="G283" i="10"/>
  <c r="K282" i="10"/>
  <c r="J282" i="10"/>
  <c r="H282" i="10"/>
  <c r="G282" i="10"/>
  <c r="K281" i="10"/>
  <c r="J281" i="10"/>
  <c r="H281" i="10"/>
  <c r="G281" i="10"/>
  <c r="K280" i="10"/>
  <c r="J280" i="10"/>
  <c r="H280" i="10"/>
  <c r="G280" i="10"/>
  <c r="K279" i="10"/>
  <c r="J279" i="10"/>
  <c r="H279" i="10"/>
  <c r="G279" i="10"/>
  <c r="K278" i="10"/>
  <c r="J278" i="10"/>
  <c r="H278" i="10"/>
  <c r="G278" i="10"/>
  <c r="K277" i="10"/>
  <c r="J277" i="10"/>
  <c r="H277" i="10"/>
  <c r="G277" i="10"/>
  <c r="K276" i="10"/>
  <c r="J276" i="10"/>
  <c r="H276" i="10"/>
  <c r="G276" i="10"/>
  <c r="K275" i="10"/>
  <c r="J275" i="10"/>
  <c r="H275" i="10"/>
  <c r="G275" i="10"/>
  <c r="K274" i="10"/>
  <c r="J274" i="10"/>
  <c r="H274" i="10"/>
  <c r="G274" i="10"/>
  <c r="K273" i="10"/>
  <c r="J273" i="10"/>
  <c r="H273" i="10"/>
  <c r="G273" i="10"/>
  <c r="K272" i="10"/>
  <c r="J272" i="10"/>
  <c r="H272" i="10"/>
  <c r="G272" i="10"/>
  <c r="K271" i="10"/>
  <c r="J271" i="10"/>
  <c r="H271" i="10"/>
  <c r="G271" i="10"/>
  <c r="K270" i="10"/>
  <c r="J270" i="10"/>
  <c r="H270" i="10"/>
  <c r="G270" i="10"/>
  <c r="K269" i="10"/>
  <c r="J269" i="10"/>
  <c r="H269" i="10"/>
  <c r="G269" i="10"/>
  <c r="K268" i="10"/>
  <c r="J268" i="10"/>
  <c r="H268" i="10"/>
  <c r="G268" i="10"/>
  <c r="K267" i="10"/>
  <c r="J267" i="10"/>
  <c r="H267" i="10"/>
  <c r="G267" i="10"/>
  <c r="K266" i="10"/>
  <c r="J266" i="10"/>
  <c r="H266" i="10"/>
  <c r="G266" i="10"/>
  <c r="K265" i="10"/>
  <c r="J265" i="10"/>
  <c r="H265" i="10"/>
  <c r="G265" i="10"/>
  <c r="K264" i="10"/>
  <c r="J264" i="10"/>
  <c r="H264" i="10"/>
  <c r="G264" i="10"/>
  <c r="K263" i="10"/>
  <c r="J263" i="10"/>
  <c r="H263" i="10"/>
  <c r="G263" i="10"/>
  <c r="K262" i="10"/>
  <c r="J262" i="10"/>
  <c r="H262" i="10"/>
  <c r="G262" i="10"/>
  <c r="K261" i="10"/>
  <c r="J261" i="10"/>
  <c r="H261" i="10"/>
  <c r="G261" i="10"/>
  <c r="K260" i="10"/>
  <c r="J260" i="10"/>
  <c r="H260" i="10"/>
  <c r="G260" i="10"/>
  <c r="K259" i="10"/>
  <c r="J259" i="10"/>
  <c r="H259" i="10"/>
  <c r="G259" i="10"/>
  <c r="K258" i="10"/>
  <c r="J258" i="10"/>
  <c r="H258" i="10"/>
  <c r="G258" i="10"/>
  <c r="K257" i="10"/>
  <c r="J257" i="10"/>
  <c r="H257" i="10"/>
  <c r="G257" i="10"/>
  <c r="K256" i="10"/>
  <c r="J256" i="10"/>
  <c r="H256" i="10"/>
  <c r="G256" i="10"/>
  <c r="K255" i="10"/>
  <c r="J255" i="10"/>
  <c r="H255" i="10"/>
  <c r="G255" i="10"/>
  <c r="K254" i="10"/>
  <c r="J254" i="10"/>
  <c r="H254" i="10"/>
  <c r="G254" i="10"/>
  <c r="K253" i="10"/>
  <c r="J253" i="10"/>
  <c r="H253" i="10"/>
  <c r="G253" i="10"/>
  <c r="K252" i="10"/>
  <c r="J252" i="10"/>
  <c r="H252" i="10"/>
  <c r="G252" i="10"/>
  <c r="K251" i="10"/>
  <c r="J251" i="10"/>
  <c r="H251" i="10"/>
  <c r="G251" i="10"/>
  <c r="K250" i="10"/>
  <c r="J250" i="10"/>
  <c r="H250" i="10"/>
  <c r="G250" i="10"/>
  <c r="K249" i="10"/>
  <c r="J249" i="10"/>
  <c r="H249" i="10"/>
  <c r="G249" i="10"/>
  <c r="K248" i="10"/>
  <c r="J248" i="10"/>
  <c r="H248" i="10"/>
  <c r="G248" i="10"/>
  <c r="K247" i="10"/>
  <c r="J247" i="10"/>
  <c r="H247" i="10"/>
  <c r="G247" i="10"/>
  <c r="K246" i="10"/>
  <c r="J246" i="10"/>
  <c r="H246" i="10"/>
  <c r="G246" i="10"/>
  <c r="K245" i="10"/>
  <c r="J245" i="10"/>
  <c r="H245" i="10"/>
  <c r="G245" i="10"/>
  <c r="K244" i="10"/>
  <c r="J244" i="10"/>
  <c r="H244" i="10"/>
  <c r="G244" i="10"/>
  <c r="K243" i="10"/>
  <c r="J243" i="10"/>
  <c r="H243" i="10"/>
  <c r="G243" i="10"/>
  <c r="K242" i="10"/>
  <c r="J242" i="10"/>
  <c r="H242" i="10"/>
  <c r="G242" i="10"/>
  <c r="K241" i="10"/>
  <c r="J241" i="10"/>
  <c r="H241" i="10"/>
  <c r="G241" i="10"/>
  <c r="K240" i="10"/>
  <c r="J240" i="10"/>
  <c r="H240" i="10"/>
  <c r="G240" i="10"/>
  <c r="K239" i="10"/>
  <c r="J239" i="10"/>
  <c r="H239" i="10"/>
  <c r="G239" i="10"/>
  <c r="K238" i="10"/>
  <c r="J238" i="10"/>
  <c r="H238" i="10"/>
  <c r="G238" i="10"/>
  <c r="K237" i="10"/>
  <c r="J237" i="10"/>
  <c r="H237" i="10"/>
  <c r="G237" i="10"/>
  <c r="K236" i="10"/>
  <c r="J236" i="10"/>
  <c r="H236" i="10"/>
  <c r="G236" i="10"/>
  <c r="K235" i="10"/>
  <c r="J235" i="10"/>
  <c r="H235" i="10"/>
  <c r="G235" i="10"/>
  <c r="K234" i="10"/>
  <c r="J234" i="10"/>
  <c r="H234" i="10"/>
  <c r="G234" i="10"/>
  <c r="K233" i="10"/>
  <c r="J233" i="10"/>
  <c r="H233" i="10"/>
  <c r="G233" i="10"/>
  <c r="K232" i="10"/>
  <c r="J232" i="10"/>
  <c r="H232" i="10"/>
  <c r="G232" i="10"/>
  <c r="K231" i="10"/>
  <c r="J231" i="10"/>
  <c r="H231" i="10"/>
  <c r="G231" i="10"/>
  <c r="K230" i="10"/>
  <c r="J230" i="10"/>
  <c r="H230" i="10"/>
  <c r="G230" i="10"/>
  <c r="K229" i="10"/>
  <c r="J229" i="10"/>
  <c r="H229" i="10"/>
  <c r="G229" i="10"/>
  <c r="K228" i="10"/>
  <c r="J228" i="10"/>
  <c r="H228" i="10"/>
  <c r="G228" i="10"/>
  <c r="K227" i="10"/>
  <c r="J227" i="10"/>
  <c r="H227" i="10"/>
  <c r="G227" i="10"/>
  <c r="K226" i="10"/>
  <c r="J226" i="10"/>
  <c r="H226" i="10"/>
  <c r="G226" i="10"/>
  <c r="K225" i="10"/>
  <c r="J225" i="10"/>
  <c r="H225" i="10"/>
  <c r="G225" i="10"/>
  <c r="K224" i="10"/>
  <c r="J224" i="10"/>
  <c r="H224" i="10"/>
  <c r="G224" i="10"/>
  <c r="K223" i="10"/>
  <c r="J223" i="10"/>
  <c r="H223" i="10"/>
  <c r="G223" i="10"/>
  <c r="K222" i="10"/>
  <c r="J222" i="10"/>
  <c r="H222" i="10"/>
  <c r="G222" i="10"/>
  <c r="K221" i="10"/>
  <c r="J221" i="10"/>
  <c r="H221" i="10"/>
  <c r="G221" i="10"/>
  <c r="K220" i="10"/>
  <c r="J220" i="10"/>
  <c r="H220" i="10"/>
  <c r="G220" i="10"/>
  <c r="K219" i="10"/>
  <c r="J219" i="10"/>
  <c r="H219" i="10"/>
  <c r="G219" i="10"/>
  <c r="K218" i="10"/>
  <c r="J218" i="10"/>
  <c r="H218" i="10"/>
  <c r="G218" i="10"/>
  <c r="K217" i="10"/>
  <c r="J217" i="10"/>
  <c r="H217" i="10"/>
  <c r="G217" i="10"/>
  <c r="K216" i="10"/>
  <c r="J216" i="10"/>
  <c r="H216" i="10"/>
  <c r="G216" i="10"/>
  <c r="K215" i="10"/>
  <c r="J215" i="10"/>
  <c r="H215" i="10"/>
  <c r="G215" i="10"/>
  <c r="K214" i="10"/>
  <c r="J214" i="10"/>
  <c r="H214" i="10"/>
  <c r="G214" i="10"/>
  <c r="K213" i="10"/>
  <c r="J213" i="10"/>
  <c r="H213" i="10"/>
  <c r="G213" i="10"/>
  <c r="K212" i="10"/>
  <c r="J212" i="10"/>
  <c r="H212" i="10"/>
  <c r="G212" i="10"/>
  <c r="K211" i="10"/>
  <c r="J211" i="10"/>
  <c r="H211" i="10"/>
  <c r="G211" i="10"/>
  <c r="K210" i="10"/>
  <c r="J210" i="10"/>
  <c r="H210" i="10"/>
  <c r="G210" i="10"/>
  <c r="K209" i="10"/>
  <c r="J209" i="10"/>
  <c r="H209" i="10"/>
  <c r="G209" i="10"/>
  <c r="K208" i="10"/>
  <c r="J208" i="10"/>
  <c r="H208" i="10"/>
  <c r="G208" i="10"/>
  <c r="K207" i="10"/>
  <c r="J207" i="10"/>
  <c r="H207" i="10"/>
  <c r="G207" i="10"/>
  <c r="K206" i="10"/>
  <c r="J206" i="10"/>
  <c r="H206" i="10"/>
  <c r="G206" i="10"/>
  <c r="K205" i="10"/>
  <c r="J205" i="10"/>
  <c r="H205" i="10"/>
  <c r="G205" i="10"/>
  <c r="K204" i="10"/>
  <c r="J204" i="10"/>
  <c r="H204" i="10"/>
  <c r="G204" i="10"/>
  <c r="K203" i="10"/>
  <c r="J203" i="10"/>
  <c r="H203" i="10"/>
  <c r="G203" i="10"/>
  <c r="K202" i="10"/>
  <c r="J202" i="10"/>
  <c r="H202" i="10"/>
  <c r="G202" i="10"/>
  <c r="K201" i="10"/>
  <c r="J201" i="10"/>
  <c r="H201" i="10"/>
  <c r="G201" i="10"/>
  <c r="K200" i="10"/>
  <c r="J200" i="10"/>
  <c r="H200" i="10"/>
  <c r="G200" i="10"/>
  <c r="K199" i="10"/>
  <c r="J199" i="10"/>
  <c r="H199" i="10"/>
  <c r="G199" i="10"/>
  <c r="K198" i="10"/>
  <c r="J198" i="10"/>
  <c r="H198" i="10"/>
  <c r="G198" i="10"/>
  <c r="K197" i="10"/>
  <c r="J197" i="10"/>
  <c r="H197" i="10"/>
  <c r="G197" i="10"/>
  <c r="K196" i="10"/>
  <c r="J196" i="10"/>
  <c r="H196" i="10"/>
  <c r="G196" i="10"/>
  <c r="K195" i="10"/>
  <c r="J195" i="10"/>
  <c r="H195" i="10"/>
  <c r="G195" i="10"/>
  <c r="K194" i="10"/>
  <c r="J194" i="10"/>
  <c r="H194" i="10"/>
  <c r="G194" i="10"/>
  <c r="K193" i="10"/>
  <c r="J193" i="10"/>
  <c r="H193" i="10"/>
  <c r="G193" i="10"/>
  <c r="K192" i="10"/>
  <c r="J192" i="10"/>
  <c r="H192" i="10"/>
  <c r="G192" i="10"/>
  <c r="K191" i="10"/>
  <c r="J191" i="10"/>
  <c r="H191" i="10"/>
  <c r="G191" i="10"/>
  <c r="K190" i="10"/>
  <c r="J190" i="10"/>
  <c r="H190" i="10"/>
  <c r="G190" i="10"/>
  <c r="K189" i="10"/>
  <c r="J189" i="10"/>
  <c r="H189" i="10"/>
  <c r="G189" i="10"/>
  <c r="K188" i="10"/>
  <c r="J188" i="10"/>
  <c r="H188" i="10"/>
  <c r="G188" i="10"/>
  <c r="K187" i="10"/>
  <c r="J187" i="10"/>
  <c r="H187" i="10"/>
  <c r="G187" i="10"/>
  <c r="K186" i="10"/>
  <c r="J186" i="10"/>
  <c r="H186" i="10"/>
  <c r="G186" i="10"/>
  <c r="K185" i="10"/>
  <c r="J185" i="10"/>
  <c r="H185" i="10"/>
  <c r="G185" i="10"/>
  <c r="K184" i="10"/>
  <c r="J184" i="10"/>
  <c r="H184" i="10"/>
  <c r="G184" i="10"/>
  <c r="K183" i="10"/>
  <c r="J183" i="10"/>
  <c r="H183" i="10"/>
  <c r="G183" i="10"/>
  <c r="K182" i="10"/>
  <c r="J182" i="10"/>
  <c r="H182" i="10"/>
  <c r="G182" i="10"/>
  <c r="K181" i="10"/>
  <c r="J181" i="10"/>
  <c r="H181" i="10"/>
  <c r="G181" i="10"/>
  <c r="K180" i="10"/>
  <c r="J180" i="10"/>
  <c r="H180" i="10"/>
  <c r="G180" i="10"/>
  <c r="K179" i="10"/>
  <c r="J179" i="10"/>
  <c r="H179" i="10"/>
  <c r="G179" i="10"/>
  <c r="K178" i="10"/>
  <c r="J178" i="10"/>
  <c r="H178" i="10"/>
  <c r="G178" i="10"/>
  <c r="K177" i="10"/>
  <c r="J177" i="10"/>
  <c r="H177" i="10"/>
  <c r="G177" i="10"/>
  <c r="K176" i="10"/>
  <c r="J176" i="10"/>
  <c r="H176" i="10"/>
  <c r="G176" i="10"/>
  <c r="K175" i="10"/>
  <c r="J175" i="10"/>
  <c r="H175" i="10"/>
  <c r="G175" i="10"/>
  <c r="K174" i="10"/>
  <c r="J174" i="10"/>
  <c r="H174" i="10"/>
  <c r="G174" i="10"/>
  <c r="K173" i="10"/>
  <c r="J173" i="10"/>
  <c r="H173" i="10"/>
  <c r="G173" i="10"/>
  <c r="K172" i="10"/>
  <c r="J172" i="10"/>
  <c r="H172" i="10"/>
  <c r="G172" i="10"/>
  <c r="K171" i="10"/>
  <c r="J171" i="10"/>
  <c r="H171" i="10"/>
  <c r="G171" i="10"/>
  <c r="K170" i="10"/>
  <c r="J170" i="10"/>
  <c r="H170" i="10"/>
  <c r="G170" i="10"/>
  <c r="K169" i="10"/>
  <c r="J169" i="10"/>
  <c r="H169" i="10"/>
  <c r="G169" i="10"/>
  <c r="K168" i="10"/>
  <c r="J168" i="10"/>
  <c r="H168" i="10"/>
  <c r="G168" i="10"/>
  <c r="K167" i="10"/>
  <c r="J167" i="10"/>
  <c r="H167" i="10"/>
  <c r="G167" i="10"/>
  <c r="K166" i="10"/>
  <c r="J166" i="10"/>
  <c r="H166" i="10"/>
  <c r="G166" i="10"/>
  <c r="K165" i="10"/>
  <c r="J165" i="10"/>
  <c r="H165" i="10"/>
  <c r="G165" i="10"/>
  <c r="K164" i="10"/>
  <c r="J164" i="10"/>
  <c r="H164" i="10"/>
  <c r="G164" i="10"/>
  <c r="K163" i="10"/>
  <c r="J163" i="10"/>
  <c r="H163" i="10"/>
  <c r="G163" i="10"/>
  <c r="K162" i="10"/>
  <c r="J162" i="10"/>
  <c r="H162" i="10"/>
  <c r="G162" i="10"/>
  <c r="K161" i="10"/>
  <c r="J161" i="10"/>
  <c r="H161" i="10"/>
  <c r="G161" i="10"/>
  <c r="K160" i="10"/>
  <c r="J160" i="10"/>
  <c r="H160" i="10"/>
  <c r="G160" i="10"/>
  <c r="K159" i="10"/>
  <c r="J159" i="10"/>
  <c r="H159" i="10"/>
  <c r="G159" i="10"/>
  <c r="K158" i="10"/>
  <c r="J158" i="10"/>
  <c r="H158" i="10"/>
  <c r="G158" i="10"/>
  <c r="K157" i="10"/>
  <c r="J157" i="10"/>
  <c r="H157" i="10"/>
  <c r="G157" i="10"/>
  <c r="K156" i="10"/>
  <c r="J156" i="10"/>
  <c r="H156" i="10"/>
  <c r="G156" i="10"/>
  <c r="K155" i="10"/>
  <c r="J155" i="10"/>
  <c r="H155" i="10"/>
  <c r="G155" i="10"/>
  <c r="K154" i="10"/>
  <c r="J154" i="10"/>
  <c r="H154" i="10"/>
  <c r="G154" i="10"/>
  <c r="K153" i="10"/>
  <c r="J153" i="10"/>
  <c r="H153" i="10"/>
  <c r="G153" i="10"/>
  <c r="K152" i="10"/>
  <c r="J152" i="10"/>
  <c r="H152" i="10"/>
  <c r="G152" i="10"/>
  <c r="K151" i="10"/>
  <c r="J151" i="10"/>
  <c r="H151" i="10"/>
  <c r="G151" i="10"/>
  <c r="K150" i="10"/>
  <c r="J150" i="10"/>
  <c r="H150" i="10"/>
  <c r="G150" i="10"/>
  <c r="K149" i="10"/>
  <c r="J149" i="10"/>
  <c r="H149" i="10"/>
  <c r="G149" i="10"/>
  <c r="K148" i="10"/>
  <c r="J148" i="10"/>
  <c r="H148" i="10"/>
  <c r="G148" i="10"/>
  <c r="K147" i="10"/>
  <c r="J147" i="10"/>
  <c r="H147" i="10"/>
  <c r="G147" i="10"/>
  <c r="K146" i="10"/>
  <c r="J146" i="10"/>
  <c r="H146" i="10"/>
  <c r="G146" i="10"/>
  <c r="K145" i="10"/>
  <c r="J145" i="10"/>
  <c r="H145" i="10"/>
  <c r="G145" i="10"/>
  <c r="K144" i="10"/>
  <c r="J144" i="10"/>
  <c r="H144" i="10"/>
  <c r="G144" i="10"/>
  <c r="K143" i="10"/>
  <c r="J143" i="10"/>
  <c r="H143" i="10"/>
  <c r="G143" i="10"/>
  <c r="K142" i="10"/>
  <c r="J142" i="10"/>
  <c r="H142" i="10"/>
  <c r="G142" i="10"/>
  <c r="K141" i="10"/>
  <c r="J141" i="10"/>
  <c r="H141" i="10"/>
  <c r="G141" i="10"/>
  <c r="K140" i="10"/>
  <c r="J140" i="10"/>
  <c r="H140" i="10"/>
  <c r="G140" i="10"/>
  <c r="K139" i="10"/>
  <c r="J139" i="10"/>
  <c r="H139" i="10"/>
  <c r="G139" i="10"/>
  <c r="K138" i="10"/>
  <c r="J138" i="10"/>
  <c r="H138" i="10"/>
  <c r="G138" i="10"/>
  <c r="K137" i="10"/>
  <c r="J137" i="10"/>
  <c r="H137" i="10"/>
  <c r="G137" i="10"/>
  <c r="K136" i="10"/>
  <c r="J136" i="10"/>
  <c r="H136" i="10"/>
  <c r="G136" i="10"/>
  <c r="K135" i="10"/>
  <c r="J135" i="10"/>
  <c r="H135" i="10"/>
  <c r="G135" i="10"/>
  <c r="K134" i="10"/>
  <c r="J134" i="10"/>
  <c r="H134" i="10"/>
  <c r="G134" i="10"/>
  <c r="K133" i="10"/>
  <c r="J133" i="10"/>
  <c r="H133" i="10"/>
  <c r="G133" i="10"/>
  <c r="K132" i="10"/>
  <c r="J132" i="10"/>
  <c r="H132" i="10"/>
  <c r="G132" i="10"/>
  <c r="K131" i="10"/>
  <c r="J131" i="10"/>
  <c r="H131" i="10"/>
  <c r="G131" i="10"/>
  <c r="K130" i="10"/>
  <c r="J130" i="10"/>
  <c r="H130" i="10"/>
  <c r="G130" i="10"/>
  <c r="K129" i="10"/>
  <c r="J129" i="10"/>
  <c r="H129" i="10"/>
  <c r="G129" i="10"/>
  <c r="K128" i="10"/>
  <c r="J128" i="10"/>
  <c r="H128" i="10"/>
  <c r="G128" i="10"/>
  <c r="K127" i="10"/>
  <c r="J127" i="10"/>
  <c r="H127" i="10"/>
  <c r="G127" i="10"/>
  <c r="K126" i="10"/>
  <c r="J126" i="10"/>
  <c r="H126" i="10"/>
  <c r="G126" i="10"/>
  <c r="K125" i="10"/>
  <c r="J125" i="10"/>
  <c r="H125" i="10"/>
  <c r="G125" i="10"/>
  <c r="K124" i="10"/>
  <c r="J124" i="10"/>
  <c r="H124" i="10"/>
  <c r="G124" i="10"/>
  <c r="K123" i="10"/>
  <c r="J123" i="10"/>
  <c r="H123" i="10"/>
  <c r="G123" i="10"/>
  <c r="K122" i="10"/>
  <c r="J122" i="10"/>
  <c r="H122" i="10"/>
  <c r="G122" i="10"/>
  <c r="K121" i="10"/>
  <c r="J121" i="10"/>
  <c r="H121" i="10"/>
  <c r="G121" i="10"/>
  <c r="K120" i="10"/>
  <c r="J120" i="10"/>
  <c r="H120" i="10"/>
  <c r="G120" i="10"/>
  <c r="K119" i="10"/>
  <c r="J119" i="10"/>
  <c r="H119" i="10"/>
  <c r="G119" i="10"/>
  <c r="K118" i="10"/>
  <c r="J118" i="10"/>
  <c r="H118" i="10"/>
  <c r="G118" i="10"/>
  <c r="K117" i="10"/>
  <c r="J117" i="10"/>
  <c r="H117" i="10"/>
  <c r="G117" i="10"/>
  <c r="K116" i="10"/>
  <c r="J116" i="10"/>
  <c r="H116" i="10"/>
  <c r="G116" i="10"/>
  <c r="K115" i="10"/>
  <c r="J115" i="10"/>
  <c r="H115" i="10"/>
  <c r="G115" i="10"/>
  <c r="K114" i="10"/>
  <c r="J114" i="10"/>
  <c r="H114" i="10"/>
  <c r="G114" i="10"/>
  <c r="K113" i="10"/>
  <c r="J113" i="10"/>
  <c r="H113" i="10"/>
  <c r="G113" i="10"/>
  <c r="K112" i="10"/>
  <c r="J112" i="10"/>
  <c r="H112" i="10"/>
  <c r="G112" i="10"/>
  <c r="K111" i="10"/>
  <c r="J111" i="10"/>
  <c r="H111" i="10"/>
  <c r="G111" i="10"/>
  <c r="K110" i="10"/>
  <c r="J110" i="10"/>
  <c r="H110" i="10"/>
  <c r="G110" i="10"/>
  <c r="K109" i="10"/>
  <c r="J109" i="10"/>
  <c r="H109" i="10"/>
  <c r="G109" i="10"/>
  <c r="K108" i="10"/>
  <c r="J108" i="10"/>
  <c r="H108" i="10"/>
  <c r="G108" i="10"/>
  <c r="K107" i="10"/>
  <c r="J107" i="10"/>
  <c r="H107" i="10"/>
  <c r="G107" i="10"/>
  <c r="K106" i="10"/>
  <c r="J106" i="10"/>
  <c r="H106" i="10"/>
  <c r="G106" i="10"/>
  <c r="K105" i="10"/>
  <c r="J105" i="10"/>
  <c r="H105" i="10"/>
  <c r="G105" i="10"/>
  <c r="K104" i="10"/>
  <c r="J104" i="10"/>
  <c r="H104" i="10"/>
  <c r="G104" i="10"/>
  <c r="K103" i="10"/>
  <c r="J103" i="10"/>
  <c r="H103" i="10"/>
  <c r="G103" i="10"/>
  <c r="K102" i="10"/>
  <c r="J102" i="10"/>
  <c r="H102" i="10"/>
  <c r="G102" i="10"/>
  <c r="K101" i="10"/>
  <c r="J101" i="10"/>
  <c r="H101" i="10"/>
  <c r="G101" i="10"/>
  <c r="K100" i="10"/>
  <c r="J100" i="10"/>
  <c r="H100" i="10"/>
  <c r="G100" i="10"/>
  <c r="K99" i="10"/>
  <c r="J99" i="10"/>
  <c r="H99" i="10"/>
  <c r="G99" i="10"/>
  <c r="K98" i="10"/>
  <c r="J98" i="10"/>
  <c r="H98" i="10"/>
  <c r="G98" i="10"/>
  <c r="K97" i="10"/>
  <c r="J97" i="10"/>
  <c r="H97" i="10"/>
  <c r="G97" i="10"/>
  <c r="K96" i="10"/>
  <c r="J96" i="10"/>
  <c r="H96" i="10"/>
  <c r="G96" i="10"/>
  <c r="K95" i="10"/>
  <c r="J95" i="10"/>
  <c r="H95" i="10"/>
  <c r="G95" i="10"/>
  <c r="K94" i="10"/>
  <c r="J94" i="10"/>
  <c r="H94" i="10"/>
  <c r="G94" i="10"/>
  <c r="K93" i="10"/>
  <c r="J93" i="10"/>
  <c r="H93" i="10"/>
  <c r="G93" i="10"/>
  <c r="K92" i="10"/>
  <c r="J92" i="10"/>
  <c r="H92" i="10"/>
  <c r="G92" i="10"/>
  <c r="K91" i="10"/>
  <c r="J91" i="10"/>
  <c r="H91" i="10"/>
  <c r="G91" i="10"/>
  <c r="K90" i="10"/>
  <c r="J90" i="10"/>
  <c r="H90" i="10"/>
  <c r="G90" i="10"/>
  <c r="K89" i="10"/>
  <c r="J89" i="10"/>
  <c r="H89" i="10"/>
  <c r="G89" i="10"/>
  <c r="K88" i="10"/>
  <c r="J88" i="10"/>
  <c r="H88" i="10"/>
  <c r="G88" i="10"/>
  <c r="K87" i="10"/>
  <c r="J87" i="10"/>
  <c r="H87" i="10"/>
  <c r="G87" i="10"/>
  <c r="K86" i="10"/>
  <c r="J86" i="10"/>
  <c r="H86" i="10"/>
  <c r="G86" i="10"/>
  <c r="K85" i="10"/>
  <c r="J85" i="10"/>
  <c r="H85" i="10"/>
  <c r="G85" i="10"/>
  <c r="K84" i="10"/>
  <c r="J84" i="10"/>
  <c r="H84" i="10"/>
  <c r="G84" i="10"/>
  <c r="K83" i="10"/>
  <c r="J83" i="10"/>
  <c r="H83" i="10"/>
  <c r="G83" i="10"/>
  <c r="K82" i="10"/>
  <c r="J82" i="10"/>
  <c r="H82" i="10"/>
  <c r="G82" i="10"/>
  <c r="K81" i="10"/>
  <c r="J81" i="10"/>
  <c r="H81" i="10"/>
  <c r="G81" i="10"/>
  <c r="K80" i="10"/>
  <c r="J80" i="10"/>
  <c r="H80" i="10"/>
  <c r="G80" i="10"/>
  <c r="K79" i="10"/>
  <c r="J79" i="10"/>
  <c r="H79" i="10"/>
  <c r="G79" i="10"/>
  <c r="K78" i="10"/>
  <c r="J78" i="10"/>
  <c r="H78" i="10"/>
  <c r="G78" i="10"/>
  <c r="K77" i="10"/>
  <c r="J77" i="10"/>
  <c r="H77" i="10"/>
  <c r="G77" i="10"/>
  <c r="K76" i="10"/>
  <c r="J76" i="10"/>
  <c r="H76" i="10"/>
  <c r="G76" i="10"/>
  <c r="K75" i="10"/>
  <c r="J75" i="10"/>
  <c r="H75" i="10"/>
  <c r="G75" i="10"/>
  <c r="K74" i="10"/>
  <c r="J74" i="10"/>
  <c r="H74" i="10"/>
  <c r="G74" i="10"/>
  <c r="K73" i="10"/>
  <c r="J73" i="10"/>
  <c r="H73" i="10"/>
  <c r="G73" i="10"/>
  <c r="K72" i="10"/>
  <c r="J72" i="10"/>
  <c r="H72" i="10"/>
  <c r="G72" i="10"/>
  <c r="K71" i="10"/>
  <c r="J71" i="10"/>
  <c r="H71" i="10"/>
  <c r="G71" i="10"/>
  <c r="K70" i="10"/>
  <c r="J70" i="10"/>
  <c r="H70" i="10"/>
  <c r="G70" i="10"/>
  <c r="K69" i="10"/>
  <c r="J69" i="10"/>
  <c r="H69" i="10"/>
  <c r="G69" i="10"/>
  <c r="K68" i="10"/>
  <c r="J68" i="10"/>
  <c r="H68" i="10"/>
  <c r="G68" i="10"/>
  <c r="K67" i="10"/>
  <c r="J67" i="10"/>
  <c r="H67" i="10"/>
  <c r="G67" i="10"/>
  <c r="K66" i="10"/>
  <c r="J66" i="10"/>
  <c r="H66" i="10"/>
  <c r="G66" i="10"/>
  <c r="K65" i="10"/>
  <c r="J65" i="10"/>
  <c r="H65" i="10"/>
  <c r="G65" i="10"/>
  <c r="K64" i="10"/>
  <c r="J64" i="10"/>
  <c r="H64" i="10"/>
  <c r="G64" i="10"/>
  <c r="K63" i="10"/>
  <c r="J63" i="10"/>
  <c r="H63" i="10"/>
  <c r="G63" i="10"/>
  <c r="K62" i="10"/>
  <c r="J62" i="10"/>
  <c r="H62" i="10"/>
  <c r="G62" i="10"/>
  <c r="K61" i="10"/>
  <c r="J61" i="10"/>
  <c r="H61" i="10"/>
  <c r="G61" i="10"/>
  <c r="K60" i="10"/>
  <c r="J60" i="10"/>
  <c r="H60" i="10"/>
  <c r="G60" i="10"/>
  <c r="K59" i="10"/>
  <c r="J59" i="10"/>
  <c r="H59" i="10"/>
  <c r="G59" i="10"/>
  <c r="K58" i="10"/>
  <c r="J58" i="10"/>
  <c r="H58" i="10"/>
  <c r="G58" i="10"/>
  <c r="K57" i="10"/>
  <c r="J57" i="10"/>
  <c r="H57" i="10"/>
  <c r="G57" i="10"/>
  <c r="K56" i="10"/>
  <c r="J56" i="10"/>
  <c r="H56" i="10"/>
  <c r="G56" i="10"/>
  <c r="K55" i="10"/>
  <c r="J55" i="10"/>
  <c r="H55" i="10"/>
  <c r="G55" i="10"/>
  <c r="K54" i="10"/>
  <c r="J54" i="10"/>
  <c r="H54" i="10"/>
  <c r="G54" i="10"/>
  <c r="K53" i="10"/>
  <c r="J53" i="10"/>
  <c r="H53" i="10"/>
  <c r="G53" i="10"/>
  <c r="K52" i="10"/>
  <c r="J52" i="10"/>
  <c r="H52" i="10"/>
  <c r="G52" i="10"/>
  <c r="K51" i="10"/>
  <c r="J51" i="10"/>
  <c r="H51" i="10"/>
  <c r="G51" i="10"/>
  <c r="K50" i="10"/>
  <c r="J50" i="10"/>
  <c r="H50" i="10"/>
  <c r="G50" i="10"/>
  <c r="K49" i="10"/>
  <c r="J49" i="10"/>
  <c r="H49" i="10"/>
  <c r="G49" i="10"/>
  <c r="K48" i="10"/>
  <c r="J48" i="10"/>
  <c r="H48" i="10"/>
  <c r="G48" i="10"/>
  <c r="K47" i="10"/>
  <c r="J47" i="10"/>
  <c r="H47" i="10"/>
  <c r="G47" i="10"/>
  <c r="K46" i="10"/>
  <c r="J46" i="10"/>
  <c r="H46" i="10"/>
  <c r="G46" i="10"/>
  <c r="K45" i="10"/>
  <c r="J45" i="10"/>
  <c r="H45" i="10"/>
  <c r="G45" i="10"/>
  <c r="K44" i="10"/>
  <c r="J44" i="10"/>
  <c r="H44" i="10"/>
  <c r="G44" i="10"/>
  <c r="K43" i="10"/>
  <c r="J43" i="10"/>
  <c r="H43" i="10"/>
  <c r="G43" i="10"/>
  <c r="K42" i="10"/>
  <c r="J42" i="10"/>
  <c r="H42" i="10"/>
  <c r="G42" i="10"/>
  <c r="K41" i="10"/>
  <c r="J41" i="10"/>
  <c r="H41" i="10"/>
  <c r="G41" i="10"/>
  <c r="K40" i="10"/>
  <c r="J40" i="10"/>
  <c r="H40" i="10"/>
  <c r="G40" i="10"/>
  <c r="K39" i="10"/>
  <c r="J39" i="10"/>
  <c r="H39" i="10"/>
  <c r="G39" i="10"/>
  <c r="K38" i="10"/>
  <c r="J38" i="10"/>
  <c r="H38" i="10"/>
  <c r="G38" i="10"/>
  <c r="K37" i="10"/>
  <c r="J37" i="10"/>
  <c r="H37" i="10"/>
  <c r="G37" i="10"/>
  <c r="K36" i="10"/>
  <c r="J36" i="10"/>
  <c r="H36" i="10"/>
  <c r="G36" i="10"/>
  <c r="K35" i="10"/>
  <c r="J35" i="10"/>
  <c r="H35" i="10"/>
  <c r="G35" i="10"/>
  <c r="K34" i="10"/>
  <c r="J34" i="10"/>
  <c r="H34" i="10"/>
  <c r="G34" i="10"/>
  <c r="K33" i="10"/>
  <c r="J33" i="10"/>
  <c r="H33" i="10"/>
  <c r="G33" i="10"/>
  <c r="K32" i="10"/>
  <c r="J32" i="10"/>
  <c r="H32" i="10"/>
  <c r="G32" i="10"/>
  <c r="K31" i="10"/>
  <c r="J31" i="10"/>
  <c r="H31" i="10"/>
  <c r="G31" i="10"/>
  <c r="K30" i="10"/>
  <c r="J30" i="10"/>
  <c r="H30" i="10"/>
  <c r="G30" i="10"/>
  <c r="K29" i="10"/>
  <c r="J29" i="10"/>
  <c r="H29" i="10"/>
  <c r="G29" i="10"/>
  <c r="K28" i="10"/>
  <c r="J28" i="10"/>
  <c r="H28" i="10"/>
  <c r="G28" i="10"/>
  <c r="K27" i="10"/>
  <c r="J27" i="10"/>
  <c r="H27" i="10"/>
  <c r="G27" i="10"/>
  <c r="K26" i="10"/>
  <c r="J26" i="10"/>
  <c r="H26" i="10"/>
  <c r="G26" i="10"/>
  <c r="K25" i="10"/>
  <c r="J25" i="10"/>
  <c r="H25" i="10"/>
  <c r="G25" i="10"/>
  <c r="K24" i="10"/>
  <c r="J24" i="10"/>
  <c r="H24" i="10"/>
  <c r="G24" i="10"/>
  <c r="K23" i="10"/>
  <c r="J23" i="10"/>
  <c r="H23" i="10"/>
  <c r="G23" i="10"/>
  <c r="K22" i="10"/>
  <c r="J22" i="10"/>
  <c r="H22" i="10"/>
  <c r="G22" i="10"/>
  <c r="K21" i="10"/>
  <c r="J21" i="10"/>
  <c r="H21" i="10"/>
  <c r="G21" i="10"/>
  <c r="K20" i="10"/>
  <c r="J20" i="10"/>
  <c r="H20" i="10"/>
  <c r="G20" i="10"/>
  <c r="K19" i="10"/>
  <c r="J19" i="10"/>
  <c r="H19" i="10"/>
  <c r="G19" i="10"/>
  <c r="K18" i="10"/>
  <c r="J18" i="10"/>
  <c r="H18" i="10"/>
  <c r="G18" i="10"/>
  <c r="K17" i="10"/>
  <c r="J17" i="10"/>
  <c r="H17" i="10"/>
  <c r="G17" i="10"/>
  <c r="K16" i="10"/>
  <c r="J16" i="10"/>
  <c r="H16" i="10"/>
  <c r="G16" i="10"/>
  <c r="K15" i="10"/>
  <c r="J15" i="10"/>
  <c r="H15" i="10"/>
  <c r="G15" i="10"/>
  <c r="K14" i="10"/>
  <c r="J14" i="10"/>
  <c r="H14" i="10"/>
  <c r="G14" i="10"/>
  <c r="K13" i="10"/>
  <c r="J13" i="10"/>
  <c r="H13" i="10"/>
  <c r="G13" i="10"/>
  <c r="K12" i="10"/>
  <c r="J12" i="10"/>
  <c r="H12" i="10"/>
  <c r="G12" i="10"/>
  <c r="K11" i="10"/>
  <c r="J11" i="10"/>
  <c r="H11" i="10"/>
  <c r="G11" i="10"/>
  <c r="K10" i="10"/>
  <c r="J10" i="10"/>
  <c r="H10" i="10"/>
  <c r="G10" i="10"/>
  <c r="K9" i="10"/>
  <c r="J9" i="10"/>
  <c r="H9" i="10"/>
  <c r="G9" i="10"/>
  <c r="K8" i="10"/>
  <c r="J8" i="10"/>
  <c r="H8" i="10"/>
  <c r="G8" i="10"/>
  <c r="K7" i="10"/>
  <c r="J7" i="10"/>
  <c r="H7" i="10"/>
  <c r="G7" i="10"/>
  <c r="K6" i="10"/>
  <c r="J6" i="10"/>
  <c r="H6" i="10"/>
  <c r="G6" i="10"/>
  <c r="K5" i="10"/>
  <c r="J5" i="10"/>
  <c r="H5" i="10"/>
  <c r="G5" i="10"/>
  <c r="K4" i="10"/>
  <c r="J4" i="10"/>
  <c r="H4" i="10"/>
  <c r="G4" i="10"/>
  <c r="K3" i="10"/>
  <c r="J3" i="10"/>
  <c r="H3" i="10"/>
  <c r="G3" i="10"/>
  <c r="L2" i="10"/>
  <c r="K2" i="10"/>
  <c r="J2" i="10"/>
  <c r="H2" i="10"/>
  <c r="G2" i="10"/>
</calcChain>
</file>

<file path=xl/sharedStrings.xml><?xml version="1.0" encoding="utf-8"?>
<sst xmlns="http://schemas.openxmlformats.org/spreadsheetml/2006/main" count="1681" uniqueCount="438">
  <si>
    <t>ID</t>
  </si>
  <si>
    <t>Prezime</t>
  </si>
  <si>
    <t>Ime</t>
  </si>
  <si>
    <t>Pol</t>
  </si>
  <si>
    <t>e-mail adresa</t>
  </si>
  <si>
    <t>Nivo obrazovanja</t>
  </si>
  <si>
    <t>Godina zaposlenja</t>
  </si>
  <si>
    <t>Pozicija</t>
  </si>
  <si>
    <t>Odeljenje/tim</t>
  </si>
  <si>
    <t>Neto plata</t>
  </si>
  <si>
    <t>Datum isplate</t>
  </si>
  <si>
    <t>Anić</t>
  </si>
  <si>
    <t>Antonina</t>
  </si>
  <si>
    <t>ž</t>
  </si>
  <si>
    <t>ana@gmail.com</t>
  </si>
  <si>
    <t>prodavac</t>
  </si>
  <si>
    <t>prodaja</t>
  </si>
  <si>
    <t>Nikolić</t>
  </si>
  <si>
    <t>Nikša</t>
  </si>
  <si>
    <t>m</t>
  </si>
  <si>
    <t>nikola@gmail.com</t>
  </si>
  <si>
    <t>menadžer</t>
  </si>
  <si>
    <t>menadžment</t>
  </si>
  <si>
    <t>Ognjanović</t>
  </si>
  <si>
    <t>Jovan</t>
  </si>
  <si>
    <t>ognjen@gmail.com</t>
  </si>
  <si>
    <t>Petrović</t>
  </si>
  <si>
    <t>Pavle</t>
  </si>
  <si>
    <t>petar@gmail.com</t>
  </si>
  <si>
    <t>Jovanović</t>
  </si>
  <si>
    <t>Jelica</t>
  </si>
  <si>
    <t>jovana@gmail.com</t>
  </si>
  <si>
    <t>Nataša</t>
  </si>
  <si>
    <t>natasa@gmail.com</t>
  </si>
  <si>
    <t>HR stručnjak</t>
  </si>
  <si>
    <t>Vučković</t>
  </si>
  <si>
    <t>Sanja</t>
  </si>
  <si>
    <t>sanja@gmail.com</t>
  </si>
  <si>
    <t>Jelena</t>
  </si>
  <si>
    <t>jelena@gmail.com</t>
  </si>
  <si>
    <t>marketing savetnik</t>
  </si>
  <si>
    <t>Nenadović</t>
  </si>
  <si>
    <t>Novak</t>
  </si>
  <si>
    <t>nenad@gmail.com</t>
  </si>
  <si>
    <t>Marković</t>
  </si>
  <si>
    <t>Vuk</t>
  </si>
  <si>
    <t>marko@gmail.com</t>
  </si>
  <si>
    <t>IT podrška</t>
  </si>
  <si>
    <t>IT</t>
  </si>
  <si>
    <t>Ivanović</t>
  </si>
  <si>
    <t>Miloš</t>
  </si>
  <si>
    <t>ivan@gmail.com</t>
  </si>
  <si>
    <t>analitičar podataka</t>
  </si>
  <si>
    <t>Andrić</t>
  </si>
  <si>
    <t>Tamara</t>
  </si>
  <si>
    <t>tamara@gmail.com</t>
  </si>
  <si>
    <t>Zdravković</t>
  </si>
  <si>
    <t>Zoran</t>
  </si>
  <si>
    <t>zoran@gmail.com</t>
  </si>
  <si>
    <t>logistika</t>
  </si>
  <si>
    <t>Popović</t>
  </si>
  <si>
    <t>Milica</t>
  </si>
  <si>
    <t>milica@gmail.com</t>
  </si>
  <si>
    <t>Ilić</t>
  </si>
  <si>
    <t>Nina</t>
  </si>
  <si>
    <t>nina@gmail.com</t>
  </si>
  <si>
    <t>generalni direktor</t>
  </si>
  <si>
    <t>Šifra</t>
  </si>
  <si>
    <t>Kategorija</t>
  </si>
  <si>
    <t>Naziv proizvoda</t>
  </si>
  <si>
    <r>
      <t xml:space="preserve">Proizvodna cena </t>
    </r>
    <r>
      <rPr>
        <b/>
        <sz val="11"/>
        <color theme="1"/>
        <rFont val="Aptos Narrow"/>
        <family val="2"/>
      </rPr>
      <t>[€]</t>
    </r>
  </si>
  <si>
    <t>Prodajna cena  [€]</t>
  </si>
  <si>
    <t>KS-001</t>
  </si>
  <si>
    <t>Nameštaj za dnevnu sobu</t>
  </si>
  <si>
    <t>Klub sto</t>
  </si>
  <si>
    <t>TS-002</t>
  </si>
  <si>
    <t>Trpezarija</t>
  </si>
  <si>
    <t>Trpezarijski sto</t>
  </si>
  <si>
    <t>RF-003</t>
  </si>
  <si>
    <t>Rasklopiva fotelja</t>
  </si>
  <si>
    <t>OT-004</t>
  </si>
  <si>
    <t>Ormarić za TV</t>
  </si>
  <si>
    <t>SF-005</t>
  </si>
  <si>
    <t>Sofa</t>
  </si>
  <si>
    <t>SR-006</t>
  </si>
  <si>
    <t>Stolica za ručavanje</t>
  </si>
  <si>
    <t>NO-007</t>
  </si>
  <si>
    <t>Nameštaj za spavaću sobu</t>
  </si>
  <si>
    <t>Noćni ormarić</t>
  </si>
  <si>
    <t>KO-008</t>
  </si>
  <si>
    <t>Komoda</t>
  </si>
  <si>
    <t>RS-009</t>
  </si>
  <si>
    <t>Nameštaj za radnu sobu</t>
  </si>
  <si>
    <t>Radni sto</t>
  </si>
  <si>
    <t>PK-010</t>
  </si>
  <si>
    <t>Polica za knjige</t>
  </si>
  <si>
    <t>OZ-011</t>
  </si>
  <si>
    <t>Ogledalo za zid</t>
  </si>
  <si>
    <t>TA-012</t>
  </si>
  <si>
    <t>Tabure</t>
  </si>
  <si>
    <t>VP-013</t>
  </si>
  <si>
    <t>Kuhinja</t>
  </si>
  <si>
    <t>Viseća polica</t>
  </si>
  <si>
    <t>KO-014</t>
  </si>
  <si>
    <t>Kuhinjsko ostrvo</t>
  </si>
  <si>
    <t>Klijenti</t>
  </si>
  <si>
    <t>Region</t>
  </si>
  <si>
    <t>Poslovanje</t>
  </si>
  <si>
    <t>Vreme osnivanja</t>
  </si>
  <si>
    <t>Dom &amp; Dekor</t>
  </si>
  <si>
    <t>Beogradski region</t>
  </si>
  <si>
    <t>maloprodaja</t>
  </si>
  <si>
    <t>Stilski Stan</t>
  </si>
  <si>
    <t>Vojvodina i Beograd</t>
  </si>
  <si>
    <t>Sofistikacija Doma</t>
  </si>
  <si>
    <t>Šumadija</t>
  </si>
  <si>
    <t>Elegantni Enterijeri</t>
  </si>
  <si>
    <t>Južni i Šumadijski region</t>
  </si>
  <si>
    <t>Luksuzni Dizajn</t>
  </si>
  <si>
    <t>Vojvodina</t>
  </si>
  <si>
    <t>Moderni Dom</t>
  </si>
  <si>
    <t>Srbija</t>
  </si>
  <si>
    <t>veleprodaja</t>
  </si>
  <si>
    <t>Udobni Kutak</t>
  </si>
  <si>
    <t>Južni region</t>
  </si>
  <si>
    <t>Estetski Kutak</t>
  </si>
  <si>
    <t>Kuća- Uređenje i Dizajn</t>
  </si>
  <si>
    <t>Prostor za Uživanje</t>
  </si>
  <si>
    <t>ID klijenta</t>
  </si>
  <si>
    <t>Datum kupovine</t>
  </si>
  <si>
    <t>Prodavac</t>
  </si>
  <si>
    <t>Šifra proizvoda</t>
  </si>
  <si>
    <t xml:space="preserve">Broj komada proizvoda </t>
  </si>
  <si>
    <t>Broj fakture</t>
  </si>
  <si>
    <t>SO45080</t>
  </si>
  <si>
    <t>SO45079</t>
  </si>
  <si>
    <t>SO45082</t>
  </si>
  <si>
    <t>MO45081</t>
  </si>
  <si>
    <t>MO45083</t>
  </si>
  <si>
    <t>SO45084</t>
  </si>
  <si>
    <t>MO45086</t>
  </si>
  <si>
    <t>MO45085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</si>
  <si>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</si>
  <si>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</si>
  <si>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</si>
  <si>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</si>
  <si>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</si>
  <si>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</si>
  <si>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</si>
  <si>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</si>
  <si>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</si>
  <si>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</si>
  <si>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</si>
  <si>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MO45095</t>
  </si>
  <si>
    <t>SO45099</t>
  </si>
  <si>
    <t>SO45101</t>
  </si>
  <si>
    <t>SO45100</t>
  </si>
  <si>
    <t>SO45102</t>
  </si>
  <si>
    <t>SO45104</t>
  </si>
  <si>
    <t>MO45108</t>
  </si>
  <si>
    <t>SO45105</t>
  </si>
  <si>
    <t>SO45103</t>
  </si>
  <si>
    <t>SO45106</t>
  </si>
  <si>
    <t>SO45107</t>
  </si>
  <si>
    <t>MO45109</t>
  </si>
  <si>
    <t>SO45112</t>
  </si>
  <si>
    <t>SO45111</t>
  </si>
  <si>
    <t>SO45110</t>
  </si>
  <si>
    <t>SO45119</t>
  </si>
  <si>
    <t>MO45117</t>
  </si>
  <si>
    <t>SO45116</t>
  </si>
  <si>
    <t>SO45114</t>
  </si>
  <si>
    <t>SO45115</t>
  </si>
  <si>
    <t>SO45118</t>
  </si>
  <si>
    <t>MO45113</t>
  </si>
  <si>
    <t>SO45120</t>
  </si>
  <si>
    <t>SO45124</t>
  </si>
  <si>
    <t>SO45122</t>
  </si>
  <si>
    <t>MO45123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</si>
  <si>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</si>
  <si>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</si>
  <si>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</si>
  <si>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</si>
  <si>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</si>
  <si>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</si>
  <si>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</si>
  <si>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</si>
  <si>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</si>
  <si>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</si>
  <si>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</si>
  <si>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</si>
  <si>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</si>
  <si>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</si>
  <si>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MO45141</t>
  </si>
  <si>
    <t>SO45143</t>
  </si>
  <si>
    <t>SO45142</t>
  </si>
  <si>
    <t>SO45145</t>
  </si>
  <si>
    <t>SO45144</t>
  </si>
  <si>
    <t>SO45140</t>
  </si>
  <si>
    <t>SO45139</t>
  </si>
  <si>
    <t>MO45148</t>
  </si>
  <si>
    <t>SO45147</t>
  </si>
  <si>
    <t>MO45146</t>
  </si>
  <si>
    <t>SO45149</t>
  </si>
  <si>
    <t>SO45154</t>
  </si>
  <si>
    <t>MO45151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</si>
  <si>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</si>
  <si>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</si>
  <si>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</si>
  <si>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</si>
  <si>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</si>
  <si>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</si>
  <si>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</si>
  <si>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</si>
  <si>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</si>
  <si>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</si>
  <si>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</si>
  <si>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</si>
  <si>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</si>
  <si>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</si>
  <si>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</si>
  <si>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</si>
  <si>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</si>
  <si>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</si>
  <si>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MO45168</t>
  </si>
  <si>
    <t>SO45165</t>
  </si>
  <si>
    <t>SO45172</t>
  </si>
  <si>
    <t>SO45176</t>
  </si>
  <si>
    <t>SO45174</t>
  </si>
  <si>
    <t>SO45179</t>
  </si>
  <si>
    <t>SO45178</t>
  </si>
  <si>
    <t>SO45177</t>
  </si>
  <si>
    <t>MO45173</t>
  </si>
  <si>
    <t>MO45175</t>
  </si>
  <si>
    <t>SO45180</t>
  </si>
  <si>
    <t>SO45184</t>
  </si>
  <si>
    <t>SO45183</t>
  </si>
  <si>
    <t>MO45181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</si>
  <si>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</si>
  <si>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</si>
  <si>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</si>
  <si>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</si>
  <si>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</si>
  <si>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</si>
  <si>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</si>
  <si>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</si>
  <si>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MO45196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</si>
  <si>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</si>
  <si>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</si>
  <si>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</si>
  <si>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</si>
  <si>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</si>
  <si>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</si>
  <si>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</si>
  <si>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</si>
  <si>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</si>
  <si>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</si>
  <si>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MO45202</t>
  </si>
  <si>
    <t>SO45198</t>
  </si>
  <si>
    <t>MO45213</t>
  </si>
  <si>
    <t>SO45207</t>
  </si>
  <si>
    <t>MO45211</t>
  </si>
  <si>
    <t>SO45212</t>
  </si>
  <si>
    <t>SO45208</t>
  </si>
  <si>
    <t>SO45209</t>
  </si>
  <si>
    <t>SO45210</t>
  </si>
  <si>
    <t>MO45206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</si>
  <si>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</si>
  <si>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</si>
  <si>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</si>
  <si>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</si>
  <si>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</si>
  <si>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</si>
  <si>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</si>
  <si>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</si>
  <si>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</si>
  <si>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MO45223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</si>
  <si>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</si>
  <si>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</si>
  <si>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</si>
  <si>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</si>
  <si>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</si>
  <si>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</si>
  <si>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</si>
  <si>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</si>
  <si>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</si>
  <si>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</si>
  <si>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</si>
  <si>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</si>
  <si>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</si>
  <si>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</si>
  <si>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MO45238</t>
  </si>
  <si>
    <t>SO45242</t>
  </si>
  <si>
    <t>SO45240</t>
  </si>
  <si>
    <t>SO45241</t>
  </si>
  <si>
    <t>MO45244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</si>
  <si>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</si>
  <si>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</si>
  <si>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</si>
  <si>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</si>
  <si>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</si>
  <si>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</si>
  <si>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</si>
  <si>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</si>
  <si>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</si>
  <si>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</si>
  <si>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</si>
  <si>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</si>
  <si>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</si>
  <si>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</si>
  <si>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</si>
  <si>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</si>
  <si>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</si>
  <si>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MO45264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</si>
  <si>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</si>
  <si>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</si>
  <si>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</si>
  <si>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</si>
  <si>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</si>
  <si>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</si>
  <si>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</si>
  <si>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</si>
  <si>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</si>
  <si>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</si>
  <si>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</si>
  <si>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MO45356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</si>
  <si>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</si>
  <si>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</si>
  <si>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</si>
  <si>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</si>
  <si>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</si>
  <si>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</si>
  <si>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</si>
  <si>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</si>
  <si>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</si>
  <si>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</si>
  <si>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MO45364</t>
  </si>
  <si>
    <t>SO45366</t>
  </si>
  <si>
    <t>SO45365</t>
  </si>
  <si>
    <t>SO45369</t>
  </si>
  <si>
    <t>SO45370</t>
  </si>
  <si>
    <t>SO45368</t>
  </si>
  <si>
    <t>SO45367</t>
  </si>
  <si>
    <t>SO45375</t>
  </si>
  <si>
    <t>MO45376</t>
  </si>
  <si>
    <t>SO45371</t>
  </si>
  <si>
    <t>SO45372</t>
  </si>
  <si>
    <t>SO45374</t>
  </si>
  <si>
    <t>SO45373</t>
  </si>
  <si>
    <t>MO45384</t>
  </si>
  <si>
    <t>SO45380</t>
  </si>
  <si>
    <t>MO45377</t>
  </si>
  <si>
    <t>MO45381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</si>
  <si>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</si>
  <si>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</si>
  <si>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</si>
  <si>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</si>
  <si>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</si>
  <si>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</si>
  <si>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</si>
  <si>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</si>
  <si>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</si>
  <si>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</si>
  <si>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</si>
  <si>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</si>
  <si>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</si>
  <si>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</si>
  <si>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MO45393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</si>
  <si>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</si>
  <si>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</si>
  <si>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</si>
  <si>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</si>
  <si>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</si>
  <si>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</si>
  <si>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</si>
  <si>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</si>
  <si>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</si>
  <si>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</si>
  <si>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</si>
  <si>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</si>
  <si>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</si>
  <si>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</si>
  <si>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</si>
  <si>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</si>
  <si>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</si>
  <si>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</si>
  <si>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MO45414</t>
  </si>
  <si>
    <t>SO45413</t>
  </si>
  <si>
    <t>SO45418</t>
  </si>
  <si>
    <t>SO45421</t>
  </si>
  <si>
    <t>SO45415</t>
  </si>
  <si>
    <t>SO45420</t>
  </si>
  <si>
    <t>SO45424</t>
  </si>
  <si>
    <t>MO45423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</si>
  <si>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</si>
  <si>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</si>
  <si>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</si>
  <si>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</si>
  <si>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</si>
  <si>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</si>
  <si>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</si>
  <si>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</si>
  <si>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</si>
  <si>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</si>
  <si>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</si>
  <si>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</si>
  <si>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</si>
  <si>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</si>
  <si>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</si>
  <si>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MO45444</t>
  </si>
  <si>
    <t>MO45440</t>
  </si>
  <si>
    <t>SO45441</t>
  </si>
  <si>
    <t>SO45443</t>
  </si>
  <si>
    <t>SO45442</t>
  </si>
  <si>
    <t>SO45445</t>
  </si>
  <si>
    <t>MO45447</t>
  </si>
  <si>
    <t>SO45446</t>
  </si>
  <si>
    <t>SO45448</t>
  </si>
  <si>
    <t>SO45450</t>
  </si>
  <si>
    <t>MO45452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</si>
  <si>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</si>
  <si>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</si>
  <si>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</si>
  <si>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</si>
  <si>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</si>
  <si>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</si>
  <si>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</si>
  <si>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</si>
  <si>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MO45456</t>
  </si>
  <si>
    <t>MO45461</t>
  </si>
  <si>
    <t>Prezime I ime prodavca</t>
  </si>
  <si>
    <t>Naziv klijenta</t>
  </si>
  <si>
    <t>obim prodaje</t>
  </si>
  <si>
    <t>Anić Antonina</t>
  </si>
  <si>
    <t>Jovanović Jelica</t>
  </si>
  <si>
    <t>Ognjanović Jovan</t>
  </si>
  <si>
    <t>Vučković Sanja</t>
  </si>
  <si>
    <t>Nenadović Novak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</si>
</sst>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;@"/>
    <numFmt numFmtId="165" formatCode="#.##0.00\ [$EUR]"/>
    <numFmt numFmtId="166" formatCode="d/m/yyyy/;@"/>
    <numFmt numFmtId="167" formatCode="d/\ m/\ yyyy/;@"/>
    <numFmt numFmtId="168" formatCode="d/\ m/\ yy;@"/>
    <numFmt numFmtId="169" formatCode="d/m/yyyy;@"/>
    <numFmt numFmtId="170" formatCode="[$-409]d\-mmm\-yy;@"/>
  </numFmts>
  <fonts count="10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rgb="FF374151"/>
      <name val="Segoe UI"/>
      <family val="2"/>
    </font>
    <font>
      <sz val="8"/>
      <name val="Calibri"/>
      <family val="2"/>
      <charset val="204"/>
      <scheme val="minor"/>
    </font>
    <font>
      <sz val="8"/>
      <color rgb="FF0D0D0D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165" fontId="0" fillId="0" borderId="0" xfId="0" applyNumberFormat="1"/>
    <xf numFmtId="0" fontId="3" fillId="0" borderId="0" xfId="0" applyFont="1" applyAlignment="1">
      <alignment horizontal="left" vertical="center" indent="9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/>
    <xf numFmtId="2" fontId="0" fillId="0" borderId="0" xfId="0" applyNumberFormat="1" applyAlignment="1">
      <alignment horizontal="center"/>
    </xf>
    <xf numFmtId="0" fontId="2" fillId="0" borderId="0" xfId="0" applyFon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  <xf numFmtId="167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70" fontId="0" fillId="0" borderId="0" xfId="0" applyNumberFormat="1"/>
    <xf numFmtId="167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7" fillId="0" borderId="0" xfId="0" applyFont="1"/>
    <xf numFmtId="0" fontId="7" fillId="0" borderId="1" xfId="1" applyFont="1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9" fillId="0" borderId="0" xfId="0" applyFont="1"/>
    <xf numFmtId="0" fontId="2" fillId="0" borderId="1" xfId="0" applyFont="1" applyBorder="1"/>
    <xf numFmtId="0" fontId="9" fillId="0" borderId="1" xfId="0" applyFont="1" applyBorder="1"/>
    <xf numFmtId="0" fontId="2" fillId="6" borderId="1" xfId="0" applyFont="1" applyFill="1" applyBorder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PA/UPA-%20drugi%20domac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aposleni"/>
      <sheetName val="Klijenti"/>
      <sheetName val="Proizvodi"/>
      <sheetName val="Prodaja"/>
      <sheetName val="Prodaja 1"/>
      <sheetName val="Zahtevi"/>
      <sheetName val="zahtev1"/>
      <sheetName val="zahtev2"/>
      <sheetName val="zahtev3"/>
      <sheetName val="zahtev4"/>
      <sheetName val="DASHBOARD"/>
      <sheetName val="Sheet7"/>
    </sheetNames>
    <sheetDataSet>
      <sheetData sheetId="0"/>
      <sheetData sheetId="1">
        <row r="1">
          <cell r="A1" t="str">
            <v>ID</v>
          </cell>
          <cell r="B1" t="str">
            <v>Klijenti</v>
          </cell>
          <cell r="C1" t="str">
            <v>Region</v>
          </cell>
          <cell r="D1" t="str">
            <v>Poslovanje</v>
          </cell>
          <cell r="E1" t="str">
            <v>Vreme osnivanja</v>
          </cell>
          <cell r="F1" t="str">
            <v>Godišnji prihod</v>
          </cell>
        </row>
        <row r="2">
          <cell r="A2">
            <v>108</v>
          </cell>
          <cell r="B2" t="str">
            <v>Dom &amp; Dekor</v>
          </cell>
          <cell r="C2" t="str">
            <v>Beogradski region</v>
          </cell>
          <cell r="D2" t="str">
            <v>maloprodaja</v>
          </cell>
          <cell r="E2">
            <v>38294</v>
          </cell>
          <cell r="F2">
            <v>16006180</v>
          </cell>
        </row>
        <row r="3">
          <cell r="A3">
            <v>127</v>
          </cell>
          <cell r="B3" t="str">
            <v>Luksuzni Dizajn</v>
          </cell>
          <cell r="C3" t="str">
            <v>Vojvodina</v>
          </cell>
          <cell r="D3" t="str">
            <v>maloprodaja</v>
          </cell>
          <cell r="E3">
            <v>36620</v>
          </cell>
          <cell r="F3">
            <v>15172330</v>
          </cell>
        </row>
        <row r="4">
          <cell r="A4">
            <v>151</v>
          </cell>
          <cell r="B4" t="str">
            <v>Estetski Kutak</v>
          </cell>
          <cell r="C4" t="str">
            <v>Srbija</v>
          </cell>
          <cell r="D4" t="str">
            <v>maloprodaja</v>
          </cell>
          <cell r="E4">
            <v>36560</v>
          </cell>
          <cell r="F4">
            <v>11816270</v>
          </cell>
        </row>
        <row r="5">
          <cell r="A5">
            <v>152</v>
          </cell>
          <cell r="B5" t="str">
            <v>Prostor za Uživanje</v>
          </cell>
          <cell r="C5" t="str">
            <v>Srbija</v>
          </cell>
          <cell r="D5" t="str">
            <v>maloprodaja</v>
          </cell>
          <cell r="E5">
            <v>36467</v>
          </cell>
          <cell r="F5">
            <v>18063330</v>
          </cell>
        </row>
        <row r="6">
          <cell r="A6">
            <v>153</v>
          </cell>
          <cell r="B6" t="str">
            <v>Udobni Kutak</v>
          </cell>
          <cell r="C6" t="str">
            <v>Južni region</v>
          </cell>
          <cell r="D6" t="str">
            <v>veleprodaja</v>
          </cell>
          <cell r="E6">
            <v>33241</v>
          </cell>
          <cell r="F6">
            <v>17348560</v>
          </cell>
        </row>
        <row r="7">
          <cell r="A7">
            <v>157</v>
          </cell>
          <cell r="B7" t="str">
            <v>Stilski Stan</v>
          </cell>
          <cell r="C7" t="str">
            <v>Vojvodina i Beograd</v>
          </cell>
          <cell r="D7" t="str">
            <v>maloprodaja</v>
          </cell>
          <cell r="E7">
            <v>37199</v>
          </cell>
          <cell r="F7">
            <v>19179680</v>
          </cell>
        </row>
        <row r="8">
          <cell r="A8">
            <v>163</v>
          </cell>
          <cell r="B8" t="str">
            <v>Sofistikacija Doma</v>
          </cell>
          <cell r="C8" t="str">
            <v>Šumadija</v>
          </cell>
          <cell r="D8" t="str">
            <v>maloprodaja</v>
          </cell>
          <cell r="E8">
            <v>37504</v>
          </cell>
          <cell r="F8">
            <v>10288340</v>
          </cell>
        </row>
        <row r="9">
          <cell r="A9">
            <v>179</v>
          </cell>
          <cell r="B9" t="str">
            <v>Elegantni Enterijeri</v>
          </cell>
          <cell r="C9" t="str">
            <v>Južni i Šumadijski region</v>
          </cell>
          <cell r="D9" t="str">
            <v>maloprodaja</v>
          </cell>
          <cell r="E9">
            <v>38294</v>
          </cell>
          <cell r="F9">
            <v>17330920</v>
          </cell>
        </row>
        <row r="10">
          <cell r="A10">
            <v>186</v>
          </cell>
          <cell r="B10" t="str">
            <v>Kuća- Uređenje i Dizajn</v>
          </cell>
          <cell r="C10" t="str">
            <v>Beogradski region</v>
          </cell>
          <cell r="D10" t="str">
            <v>maloprodaja</v>
          </cell>
          <cell r="E10">
            <v>41126</v>
          </cell>
          <cell r="F10">
            <v>19003290</v>
          </cell>
        </row>
        <row r="11">
          <cell r="A11">
            <v>195</v>
          </cell>
          <cell r="B11" t="str">
            <v>Moderni Dom</v>
          </cell>
          <cell r="C11" t="str">
            <v>Srbija</v>
          </cell>
          <cell r="D11" t="str">
            <v>veleprodaja</v>
          </cell>
          <cell r="E11">
            <v>31813</v>
          </cell>
          <cell r="F11">
            <v>18198780</v>
          </cell>
        </row>
      </sheetData>
      <sheetData sheetId="2">
        <row r="1">
          <cell r="A1" t="str">
            <v>Šifra</v>
          </cell>
          <cell r="B1" t="str">
            <v>Kategorija</v>
          </cell>
          <cell r="C1" t="str">
            <v>Naziv proizvoda</v>
          </cell>
          <cell r="D1" t="str">
            <v>Proizvodna cena [€]</v>
          </cell>
          <cell r="E1" t="str">
            <v>Veleprodajna cena  [€]</v>
          </cell>
          <cell r="F1" t="str">
            <v>Maloprodajna cena  [€]</v>
          </cell>
        </row>
        <row r="2">
          <cell r="A2" t="str">
            <v>KO-008</v>
          </cell>
          <cell r="B2" t="str">
            <v>Nameštaj za dnevnu sobu</v>
          </cell>
          <cell r="C2" t="str">
            <v>Komoda</v>
          </cell>
          <cell r="D2">
            <v>1640</v>
          </cell>
          <cell r="E2">
            <v>2083</v>
          </cell>
          <cell r="F2">
            <v>2333</v>
          </cell>
        </row>
        <row r="3">
          <cell r="A3" t="str">
            <v>KO-014</v>
          </cell>
          <cell r="B3" t="str">
            <v>Kuhinja</v>
          </cell>
          <cell r="C3" t="str">
            <v>Kuhinjsko ostrvo</v>
          </cell>
          <cell r="D3">
            <v>1877</v>
          </cell>
          <cell r="E3">
            <v>2460</v>
          </cell>
          <cell r="F3">
            <v>2560</v>
          </cell>
        </row>
        <row r="4">
          <cell r="A4" t="str">
            <v>KS-001</v>
          </cell>
          <cell r="B4" t="str">
            <v>Nameštaj za dnevnu sobu</v>
          </cell>
          <cell r="C4" t="str">
            <v>Klub sto</v>
          </cell>
          <cell r="D4">
            <v>1785</v>
          </cell>
          <cell r="E4">
            <v>2105</v>
          </cell>
          <cell r="F4">
            <v>2335</v>
          </cell>
        </row>
        <row r="5">
          <cell r="A5" t="str">
            <v>NO-007</v>
          </cell>
          <cell r="B5" t="str">
            <v>Nameštaj za spavaću sobu</v>
          </cell>
          <cell r="C5" t="str">
            <v>Noćni ormarić</v>
          </cell>
          <cell r="D5">
            <v>960</v>
          </cell>
          <cell r="E5">
            <v>1129</v>
          </cell>
          <cell r="F5">
            <v>1500</v>
          </cell>
        </row>
        <row r="6">
          <cell r="A6" t="str">
            <v>OT-004</v>
          </cell>
          <cell r="B6" t="str">
            <v>Nameštaj za dnevnu sobu</v>
          </cell>
          <cell r="C6" t="str">
            <v>Ormarić za TV</v>
          </cell>
          <cell r="D6">
            <v>2812</v>
          </cell>
          <cell r="E6">
            <v>3741</v>
          </cell>
          <cell r="F6">
            <v>3888</v>
          </cell>
        </row>
        <row r="7">
          <cell r="A7" t="str">
            <v>OZ-011</v>
          </cell>
          <cell r="B7" t="str">
            <v>Nameštaj za dnevnu sobu</v>
          </cell>
          <cell r="C7" t="str">
            <v>Ogledalo za zid</v>
          </cell>
          <cell r="D7">
            <v>1001</v>
          </cell>
          <cell r="E7">
            <v>1543</v>
          </cell>
          <cell r="F7">
            <v>1763</v>
          </cell>
        </row>
        <row r="8">
          <cell r="A8" t="str">
            <v>PK-010</v>
          </cell>
          <cell r="B8" t="str">
            <v>Nameštaj za dnevnu sobu</v>
          </cell>
          <cell r="C8" t="str">
            <v>Polica za knjige</v>
          </cell>
          <cell r="D8">
            <v>900</v>
          </cell>
          <cell r="E8">
            <v>1084</v>
          </cell>
          <cell r="F8">
            <v>1384</v>
          </cell>
        </row>
        <row r="9">
          <cell r="A9" t="str">
            <v>RF-003</v>
          </cell>
          <cell r="B9" t="str">
            <v>Nameštaj za dnevnu sobu</v>
          </cell>
          <cell r="C9" t="str">
            <v>Rasklopiva fotelja</v>
          </cell>
          <cell r="D9">
            <v>984</v>
          </cell>
          <cell r="E9">
            <v>1731</v>
          </cell>
          <cell r="F9">
            <v>1931</v>
          </cell>
        </row>
        <row r="10">
          <cell r="A10" t="str">
            <v>RS-009</v>
          </cell>
          <cell r="B10" t="str">
            <v>Nameštaj za radnu sobu</v>
          </cell>
          <cell r="C10" t="str">
            <v>Radni sto</v>
          </cell>
          <cell r="D10">
            <v>1513</v>
          </cell>
          <cell r="E10">
            <v>1930</v>
          </cell>
          <cell r="F10">
            <v>2000</v>
          </cell>
        </row>
        <row r="11">
          <cell r="A11" t="str">
            <v>SF-005</v>
          </cell>
          <cell r="B11" t="str">
            <v>Nameštaj za dnevnu sobu</v>
          </cell>
          <cell r="C11" t="str">
            <v>Sofa</v>
          </cell>
          <cell r="D11">
            <v>2963</v>
          </cell>
          <cell r="E11">
            <v>3648</v>
          </cell>
          <cell r="F11">
            <v>3900</v>
          </cell>
        </row>
        <row r="12">
          <cell r="A12" t="str">
            <v>SR-006</v>
          </cell>
          <cell r="B12" t="str">
            <v>Trpezarija</v>
          </cell>
          <cell r="C12" t="str">
            <v>Stolica za ručavanje</v>
          </cell>
          <cell r="D12">
            <v>1704</v>
          </cell>
          <cell r="E12">
            <v>2410</v>
          </cell>
          <cell r="F12">
            <v>2660</v>
          </cell>
        </row>
        <row r="13">
          <cell r="A13" t="str">
            <v>TA-012</v>
          </cell>
          <cell r="B13" t="str">
            <v>Nameštaj za dnevnu sobu</v>
          </cell>
          <cell r="C13" t="str">
            <v>Tabure</v>
          </cell>
          <cell r="D13">
            <v>1942</v>
          </cell>
          <cell r="E13">
            <v>2595</v>
          </cell>
          <cell r="F13">
            <v>2900</v>
          </cell>
        </row>
        <row r="14">
          <cell r="A14" t="str">
            <v>TS-002</v>
          </cell>
          <cell r="B14" t="str">
            <v>Trpezarija</v>
          </cell>
          <cell r="C14" t="str">
            <v>Trpezarijski sto</v>
          </cell>
          <cell r="D14">
            <v>1888</v>
          </cell>
          <cell r="E14">
            <v>3740</v>
          </cell>
          <cell r="F14">
            <v>3940</v>
          </cell>
        </row>
        <row r="15">
          <cell r="A15" t="str">
            <v>VP-013</v>
          </cell>
          <cell r="B15" t="str">
            <v>Kuhinja</v>
          </cell>
          <cell r="C15" t="str">
            <v>Viseća polica</v>
          </cell>
          <cell r="D15">
            <v>1966</v>
          </cell>
          <cell r="E15">
            <v>2387</v>
          </cell>
          <cell r="F15">
            <v>2600</v>
          </cell>
        </row>
      </sheetData>
      <sheetData sheetId="3">
        <row r="2">
          <cell r="E2">
            <v>29</v>
          </cell>
        </row>
        <row r="3">
          <cell r="E3">
            <v>7</v>
          </cell>
        </row>
        <row r="4">
          <cell r="E4">
            <v>12</v>
          </cell>
        </row>
        <row r="5">
          <cell r="E5">
            <v>34</v>
          </cell>
        </row>
        <row r="6">
          <cell r="E6">
            <v>34</v>
          </cell>
        </row>
        <row r="7">
          <cell r="E7">
            <v>41</v>
          </cell>
        </row>
        <row r="8">
          <cell r="E8">
            <v>26</v>
          </cell>
        </row>
        <row r="9">
          <cell r="E9">
            <v>12</v>
          </cell>
        </row>
        <row r="10">
          <cell r="E10">
            <v>49</v>
          </cell>
        </row>
        <row r="11">
          <cell r="E11">
            <v>41</v>
          </cell>
        </row>
        <row r="12">
          <cell r="E12">
            <v>36</v>
          </cell>
        </row>
        <row r="13">
          <cell r="E13">
            <v>5</v>
          </cell>
        </row>
        <row r="14">
          <cell r="E14">
            <v>33</v>
          </cell>
        </row>
        <row r="15">
          <cell r="E15">
            <v>46</v>
          </cell>
        </row>
        <row r="16">
          <cell r="E16">
            <v>2</v>
          </cell>
        </row>
        <row r="17">
          <cell r="E17">
            <v>31</v>
          </cell>
        </row>
        <row r="18">
          <cell r="E18">
            <v>21</v>
          </cell>
        </row>
        <row r="19">
          <cell r="E19">
            <v>23</v>
          </cell>
        </row>
        <row r="20">
          <cell r="E20">
            <v>19</v>
          </cell>
        </row>
        <row r="21">
          <cell r="E21">
            <v>49</v>
          </cell>
        </row>
        <row r="22">
          <cell r="E22">
            <v>31</v>
          </cell>
        </row>
        <row r="23">
          <cell r="E23">
            <v>28</v>
          </cell>
        </row>
        <row r="24">
          <cell r="E24">
            <v>43</v>
          </cell>
        </row>
        <row r="25">
          <cell r="E25">
            <v>8</v>
          </cell>
        </row>
        <row r="26">
          <cell r="E26">
            <v>47</v>
          </cell>
        </row>
        <row r="27">
          <cell r="E27">
            <v>50</v>
          </cell>
        </row>
        <row r="28">
          <cell r="E28">
            <v>26</v>
          </cell>
        </row>
        <row r="29">
          <cell r="E29">
            <v>33</v>
          </cell>
        </row>
        <row r="30">
          <cell r="E30">
            <v>47</v>
          </cell>
        </row>
        <row r="31">
          <cell r="E31">
            <v>22</v>
          </cell>
        </row>
        <row r="32">
          <cell r="E32">
            <v>12</v>
          </cell>
        </row>
        <row r="33">
          <cell r="E33">
            <v>42</v>
          </cell>
        </row>
        <row r="34">
          <cell r="E34">
            <v>6</v>
          </cell>
        </row>
        <row r="35">
          <cell r="E35">
            <v>8</v>
          </cell>
        </row>
        <row r="36">
          <cell r="E36">
            <v>14</v>
          </cell>
        </row>
        <row r="37">
          <cell r="E37">
            <v>3</v>
          </cell>
        </row>
        <row r="38">
          <cell r="E38">
            <v>33</v>
          </cell>
        </row>
        <row r="39">
          <cell r="E39">
            <v>44</v>
          </cell>
        </row>
        <row r="40">
          <cell r="E40">
            <v>46</v>
          </cell>
        </row>
        <row r="41">
          <cell r="E41">
            <v>16</v>
          </cell>
        </row>
        <row r="42">
          <cell r="E42">
            <v>25</v>
          </cell>
        </row>
        <row r="43">
          <cell r="E43">
            <v>46</v>
          </cell>
        </row>
        <row r="44">
          <cell r="E44">
            <v>50</v>
          </cell>
        </row>
        <row r="45">
          <cell r="E45">
            <v>25</v>
          </cell>
        </row>
        <row r="46">
          <cell r="E46">
            <v>5</v>
          </cell>
        </row>
        <row r="47">
          <cell r="E47">
            <v>23</v>
          </cell>
        </row>
        <row r="48">
          <cell r="E48">
            <v>23</v>
          </cell>
        </row>
        <row r="49">
          <cell r="E49">
            <v>2</v>
          </cell>
        </row>
        <row r="50">
          <cell r="E50">
            <v>49</v>
          </cell>
        </row>
        <row r="51">
          <cell r="E51">
            <v>36</v>
          </cell>
        </row>
        <row r="52">
          <cell r="E52">
            <v>45</v>
          </cell>
        </row>
        <row r="53">
          <cell r="E53">
            <v>21</v>
          </cell>
        </row>
        <row r="54">
          <cell r="E54">
            <v>28</v>
          </cell>
        </row>
        <row r="55">
          <cell r="E55">
            <v>11</v>
          </cell>
        </row>
        <row r="56">
          <cell r="E56">
            <v>21</v>
          </cell>
        </row>
        <row r="57">
          <cell r="E57">
            <v>16</v>
          </cell>
        </row>
        <row r="58">
          <cell r="E58">
            <v>16</v>
          </cell>
        </row>
        <row r="59">
          <cell r="E59">
            <v>19</v>
          </cell>
        </row>
        <row r="60">
          <cell r="E60">
            <v>40</v>
          </cell>
        </row>
        <row r="61">
          <cell r="E61">
            <v>20</v>
          </cell>
        </row>
        <row r="62">
          <cell r="E62">
            <v>47</v>
          </cell>
        </row>
        <row r="63">
          <cell r="E63">
            <v>10</v>
          </cell>
        </row>
        <row r="64">
          <cell r="E64">
            <v>35</v>
          </cell>
        </row>
        <row r="65">
          <cell r="E65">
            <v>49</v>
          </cell>
        </row>
        <row r="66">
          <cell r="E66">
            <v>14</v>
          </cell>
        </row>
        <row r="67">
          <cell r="E67">
            <v>21</v>
          </cell>
        </row>
        <row r="68">
          <cell r="E68">
            <v>13</v>
          </cell>
        </row>
        <row r="69">
          <cell r="E69">
            <v>10</v>
          </cell>
        </row>
        <row r="70">
          <cell r="E70">
            <v>14</v>
          </cell>
        </row>
        <row r="71">
          <cell r="E71">
            <v>1</v>
          </cell>
        </row>
        <row r="72">
          <cell r="E72">
            <v>35</v>
          </cell>
        </row>
        <row r="73">
          <cell r="E73">
            <v>7</v>
          </cell>
        </row>
        <row r="74">
          <cell r="E74">
            <v>29</v>
          </cell>
        </row>
        <row r="75">
          <cell r="E75">
            <v>46</v>
          </cell>
        </row>
        <row r="76">
          <cell r="E76">
            <v>28</v>
          </cell>
        </row>
        <row r="77">
          <cell r="E77">
            <v>35</v>
          </cell>
        </row>
        <row r="78">
          <cell r="E78">
            <v>31</v>
          </cell>
        </row>
        <row r="79">
          <cell r="E79">
            <v>24</v>
          </cell>
        </row>
        <row r="80">
          <cell r="E80">
            <v>45</v>
          </cell>
        </row>
        <row r="81">
          <cell r="E81">
            <v>46</v>
          </cell>
        </row>
        <row r="82">
          <cell r="E82">
            <v>12</v>
          </cell>
        </row>
        <row r="83">
          <cell r="E83">
            <v>9</v>
          </cell>
        </row>
        <row r="84">
          <cell r="E84">
            <v>39</v>
          </cell>
        </row>
        <row r="85">
          <cell r="E85">
            <v>47</v>
          </cell>
        </row>
        <row r="86">
          <cell r="E86">
            <v>28</v>
          </cell>
        </row>
        <row r="87">
          <cell r="E87">
            <v>9</v>
          </cell>
        </row>
        <row r="88">
          <cell r="E88">
            <v>22</v>
          </cell>
        </row>
        <row r="89">
          <cell r="E89">
            <v>14</v>
          </cell>
        </row>
        <row r="90">
          <cell r="E90">
            <v>47</v>
          </cell>
        </row>
        <row r="91">
          <cell r="E91">
            <v>49</v>
          </cell>
        </row>
        <row r="92">
          <cell r="E92">
            <v>39</v>
          </cell>
        </row>
        <row r="93">
          <cell r="E93">
            <v>41</v>
          </cell>
        </row>
        <row r="94">
          <cell r="E94">
            <v>50</v>
          </cell>
        </row>
        <row r="95">
          <cell r="E95">
            <v>33</v>
          </cell>
        </row>
        <row r="96">
          <cell r="E96">
            <v>46</v>
          </cell>
        </row>
        <row r="97">
          <cell r="E97">
            <v>24</v>
          </cell>
        </row>
        <row r="98">
          <cell r="E98">
            <v>17</v>
          </cell>
        </row>
        <row r="99">
          <cell r="E99">
            <v>30</v>
          </cell>
        </row>
        <row r="100">
          <cell r="E100">
            <v>23</v>
          </cell>
        </row>
        <row r="101">
          <cell r="E101">
            <v>31</v>
          </cell>
        </row>
        <row r="102">
          <cell r="E102">
            <v>48</v>
          </cell>
        </row>
        <row r="103">
          <cell r="E103">
            <v>24</v>
          </cell>
        </row>
        <row r="104">
          <cell r="E104">
            <v>17</v>
          </cell>
        </row>
        <row r="105">
          <cell r="E105">
            <v>2</v>
          </cell>
        </row>
        <row r="106">
          <cell r="E106">
            <v>24</v>
          </cell>
        </row>
        <row r="107">
          <cell r="E107">
            <v>22</v>
          </cell>
        </row>
        <row r="108">
          <cell r="E108">
            <v>20</v>
          </cell>
        </row>
        <row r="109">
          <cell r="E109">
            <v>32</v>
          </cell>
        </row>
        <row r="110">
          <cell r="E110">
            <v>35</v>
          </cell>
        </row>
        <row r="111">
          <cell r="E111">
            <v>21</v>
          </cell>
        </row>
        <row r="112">
          <cell r="E112">
            <v>8</v>
          </cell>
        </row>
        <row r="113">
          <cell r="E113">
            <v>49</v>
          </cell>
        </row>
        <row r="114">
          <cell r="E114">
            <v>41</v>
          </cell>
        </row>
        <row r="115">
          <cell r="E115">
            <v>46</v>
          </cell>
        </row>
        <row r="116">
          <cell r="E116">
            <v>49</v>
          </cell>
        </row>
        <row r="117">
          <cell r="E117">
            <v>22</v>
          </cell>
        </row>
        <row r="118">
          <cell r="E118">
            <v>7</v>
          </cell>
        </row>
        <row r="119">
          <cell r="E119">
            <v>22</v>
          </cell>
        </row>
        <row r="120">
          <cell r="E120">
            <v>4</v>
          </cell>
        </row>
        <row r="121">
          <cell r="E121">
            <v>34</v>
          </cell>
        </row>
        <row r="122">
          <cell r="E122">
            <v>16</v>
          </cell>
        </row>
        <row r="123">
          <cell r="E123">
            <v>22</v>
          </cell>
        </row>
        <row r="124">
          <cell r="E124">
            <v>37</v>
          </cell>
        </row>
        <row r="125">
          <cell r="E125">
            <v>26</v>
          </cell>
        </row>
        <row r="126">
          <cell r="E126">
            <v>45</v>
          </cell>
        </row>
        <row r="127">
          <cell r="E127">
            <v>42</v>
          </cell>
        </row>
        <row r="128">
          <cell r="E128">
            <v>38</v>
          </cell>
        </row>
        <row r="129">
          <cell r="E129">
            <v>7</v>
          </cell>
        </row>
        <row r="130">
          <cell r="E130">
            <v>32</v>
          </cell>
        </row>
        <row r="131">
          <cell r="E131">
            <v>8</v>
          </cell>
        </row>
        <row r="132">
          <cell r="E132">
            <v>12</v>
          </cell>
        </row>
        <row r="133">
          <cell r="E133">
            <v>7</v>
          </cell>
        </row>
        <row r="134">
          <cell r="E134">
            <v>25</v>
          </cell>
        </row>
        <row r="135">
          <cell r="E135">
            <v>43</v>
          </cell>
        </row>
        <row r="136">
          <cell r="E136">
            <v>19</v>
          </cell>
        </row>
        <row r="137">
          <cell r="E137">
            <v>9</v>
          </cell>
        </row>
        <row r="138">
          <cell r="E138">
            <v>32</v>
          </cell>
        </row>
        <row r="139">
          <cell r="E139">
            <v>50</v>
          </cell>
        </row>
        <row r="140">
          <cell r="E140">
            <v>13</v>
          </cell>
        </row>
        <row r="141">
          <cell r="E141">
            <v>4</v>
          </cell>
        </row>
        <row r="142">
          <cell r="E142">
            <v>34</v>
          </cell>
        </row>
        <row r="143">
          <cell r="E143">
            <v>20</v>
          </cell>
        </row>
        <row r="144">
          <cell r="E144">
            <v>21</v>
          </cell>
        </row>
        <row r="145">
          <cell r="E145">
            <v>35</v>
          </cell>
        </row>
        <row r="146">
          <cell r="E146">
            <v>26</v>
          </cell>
        </row>
        <row r="147">
          <cell r="E147">
            <v>11</v>
          </cell>
        </row>
        <row r="148">
          <cell r="E148">
            <v>30</v>
          </cell>
        </row>
        <row r="149">
          <cell r="E149">
            <v>40</v>
          </cell>
        </row>
        <row r="150">
          <cell r="E150">
            <v>14</v>
          </cell>
        </row>
        <row r="151">
          <cell r="E151">
            <v>5</v>
          </cell>
        </row>
        <row r="152">
          <cell r="E152">
            <v>48</v>
          </cell>
        </row>
        <row r="153">
          <cell r="E153">
            <v>19</v>
          </cell>
        </row>
        <row r="154">
          <cell r="E154">
            <v>35</v>
          </cell>
        </row>
        <row r="155">
          <cell r="E155">
            <v>6</v>
          </cell>
        </row>
        <row r="156">
          <cell r="E156">
            <v>39</v>
          </cell>
        </row>
        <row r="157">
          <cell r="E157">
            <v>6</v>
          </cell>
        </row>
        <row r="158">
          <cell r="E158">
            <v>33</v>
          </cell>
        </row>
        <row r="159">
          <cell r="E159">
            <v>17</v>
          </cell>
        </row>
        <row r="160">
          <cell r="E160">
            <v>9</v>
          </cell>
        </row>
        <row r="161">
          <cell r="E161">
            <v>5</v>
          </cell>
        </row>
        <row r="162">
          <cell r="E162">
            <v>20</v>
          </cell>
        </row>
        <row r="163">
          <cell r="E163">
            <v>20</v>
          </cell>
        </row>
        <row r="164">
          <cell r="E164">
            <v>50</v>
          </cell>
        </row>
        <row r="165">
          <cell r="E165">
            <v>34</v>
          </cell>
        </row>
        <row r="166">
          <cell r="E166">
            <v>33</v>
          </cell>
        </row>
        <row r="167">
          <cell r="E167">
            <v>5</v>
          </cell>
        </row>
        <row r="168">
          <cell r="E168">
            <v>20</v>
          </cell>
        </row>
        <row r="169">
          <cell r="E169">
            <v>10</v>
          </cell>
        </row>
        <row r="170">
          <cell r="E170">
            <v>50</v>
          </cell>
        </row>
        <row r="171">
          <cell r="E171">
            <v>10</v>
          </cell>
        </row>
        <row r="172">
          <cell r="E172">
            <v>3</v>
          </cell>
        </row>
        <row r="173">
          <cell r="E173">
            <v>25</v>
          </cell>
        </row>
        <row r="174">
          <cell r="E174">
            <v>18</v>
          </cell>
        </row>
        <row r="175">
          <cell r="E175">
            <v>24</v>
          </cell>
        </row>
        <row r="176">
          <cell r="E176">
            <v>37</v>
          </cell>
        </row>
        <row r="177">
          <cell r="E177">
            <v>6</v>
          </cell>
        </row>
        <row r="178">
          <cell r="E178">
            <v>24</v>
          </cell>
        </row>
        <row r="179">
          <cell r="E179">
            <v>20</v>
          </cell>
        </row>
        <row r="180">
          <cell r="E180">
            <v>2</v>
          </cell>
        </row>
        <row r="181">
          <cell r="E181">
            <v>5</v>
          </cell>
        </row>
        <row r="182">
          <cell r="E182">
            <v>45</v>
          </cell>
        </row>
        <row r="183">
          <cell r="E183">
            <v>16</v>
          </cell>
        </row>
        <row r="184">
          <cell r="E184">
            <v>37</v>
          </cell>
        </row>
        <row r="185">
          <cell r="E185">
            <v>2</v>
          </cell>
        </row>
        <row r="186">
          <cell r="E186">
            <v>31</v>
          </cell>
        </row>
        <row r="187">
          <cell r="E187">
            <v>14</v>
          </cell>
        </row>
        <row r="188">
          <cell r="E188">
            <v>5</v>
          </cell>
        </row>
        <row r="189">
          <cell r="E189">
            <v>9</v>
          </cell>
        </row>
        <row r="190">
          <cell r="E190">
            <v>32</v>
          </cell>
        </row>
        <row r="191">
          <cell r="E191">
            <v>40</v>
          </cell>
        </row>
        <row r="192">
          <cell r="E192">
            <v>37</v>
          </cell>
        </row>
        <row r="193">
          <cell r="E193">
            <v>45</v>
          </cell>
        </row>
        <row r="194">
          <cell r="E194">
            <v>26</v>
          </cell>
        </row>
        <row r="195">
          <cell r="E195">
            <v>18</v>
          </cell>
        </row>
        <row r="196">
          <cell r="E196">
            <v>40</v>
          </cell>
        </row>
        <row r="197">
          <cell r="E197">
            <v>18</v>
          </cell>
        </row>
        <row r="198">
          <cell r="E198">
            <v>19</v>
          </cell>
        </row>
        <row r="199">
          <cell r="E199">
            <v>3</v>
          </cell>
        </row>
        <row r="200">
          <cell r="E200">
            <v>7</v>
          </cell>
        </row>
        <row r="201">
          <cell r="E201">
            <v>17</v>
          </cell>
        </row>
        <row r="202">
          <cell r="E202">
            <v>45</v>
          </cell>
        </row>
        <row r="203">
          <cell r="E203">
            <v>7</v>
          </cell>
        </row>
        <row r="204">
          <cell r="E204">
            <v>37</v>
          </cell>
        </row>
        <row r="205">
          <cell r="E205">
            <v>15</v>
          </cell>
        </row>
        <row r="206">
          <cell r="E206">
            <v>6</v>
          </cell>
        </row>
        <row r="207">
          <cell r="E207">
            <v>19</v>
          </cell>
        </row>
        <row r="208">
          <cell r="E208">
            <v>14</v>
          </cell>
        </row>
        <row r="209">
          <cell r="E209">
            <v>5</v>
          </cell>
        </row>
        <row r="210">
          <cell r="E210">
            <v>21</v>
          </cell>
        </row>
        <row r="211">
          <cell r="E211">
            <v>23</v>
          </cell>
        </row>
        <row r="212">
          <cell r="E212">
            <v>30</v>
          </cell>
        </row>
        <row r="213">
          <cell r="E213">
            <v>35</v>
          </cell>
        </row>
        <row r="214">
          <cell r="E214">
            <v>28</v>
          </cell>
        </row>
        <row r="215">
          <cell r="E215">
            <v>31</v>
          </cell>
        </row>
        <row r="216">
          <cell r="E216">
            <v>14</v>
          </cell>
        </row>
        <row r="217">
          <cell r="E217">
            <v>26</v>
          </cell>
        </row>
        <row r="218">
          <cell r="E218">
            <v>7</v>
          </cell>
        </row>
        <row r="219">
          <cell r="E219">
            <v>13</v>
          </cell>
        </row>
        <row r="220">
          <cell r="E220">
            <v>50</v>
          </cell>
        </row>
        <row r="221">
          <cell r="E221">
            <v>50</v>
          </cell>
        </row>
        <row r="222">
          <cell r="E222">
            <v>37</v>
          </cell>
        </row>
        <row r="223">
          <cell r="E223">
            <v>40</v>
          </cell>
        </row>
        <row r="224">
          <cell r="E224">
            <v>28</v>
          </cell>
        </row>
        <row r="225">
          <cell r="E225">
            <v>46</v>
          </cell>
        </row>
        <row r="226">
          <cell r="E226">
            <v>29</v>
          </cell>
        </row>
        <row r="227">
          <cell r="E227">
            <v>19</v>
          </cell>
        </row>
        <row r="228">
          <cell r="E228">
            <v>33</v>
          </cell>
        </row>
        <row r="229">
          <cell r="E229">
            <v>7</v>
          </cell>
        </row>
        <row r="230">
          <cell r="E230">
            <v>27</v>
          </cell>
        </row>
        <row r="231">
          <cell r="E231">
            <v>32</v>
          </cell>
        </row>
        <row r="232">
          <cell r="E232">
            <v>47</v>
          </cell>
        </row>
        <row r="233">
          <cell r="E233">
            <v>6</v>
          </cell>
        </row>
        <row r="234">
          <cell r="E234">
            <v>24</v>
          </cell>
        </row>
        <row r="235">
          <cell r="E235">
            <v>46</v>
          </cell>
        </row>
        <row r="236">
          <cell r="E236">
            <v>26</v>
          </cell>
        </row>
        <row r="237">
          <cell r="E237">
            <v>8</v>
          </cell>
        </row>
        <row r="238">
          <cell r="E238">
            <v>49</v>
          </cell>
        </row>
        <row r="239">
          <cell r="E239">
            <v>14</v>
          </cell>
        </row>
        <row r="240">
          <cell r="E240">
            <v>42</v>
          </cell>
        </row>
        <row r="241">
          <cell r="E241">
            <v>44</v>
          </cell>
        </row>
        <row r="242">
          <cell r="E242">
            <v>50</v>
          </cell>
        </row>
        <row r="243">
          <cell r="E243">
            <v>40</v>
          </cell>
        </row>
        <row r="244">
          <cell r="E244">
            <v>43</v>
          </cell>
        </row>
        <row r="245">
          <cell r="E245">
            <v>12</v>
          </cell>
        </row>
        <row r="246">
          <cell r="E246">
            <v>39</v>
          </cell>
        </row>
        <row r="247">
          <cell r="E247">
            <v>24</v>
          </cell>
        </row>
        <row r="248">
          <cell r="E248">
            <v>14</v>
          </cell>
        </row>
        <row r="249">
          <cell r="E249">
            <v>9</v>
          </cell>
        </row>
        <row r="250">
          <cell r="E250">
            <v>13</v>
          </cell>
        </row>
        <row r="251">
          <cell r="E251">
            <v>8</v>
          </cell>
        </row>
        <row r="252">
          <cell r="E252">
            <v>16</v>
          </cell>
        </row>
        <row r="253">
          <cell r="E253">
            <v>2</v>
          </cell>
        </row>
        <row r="254">
          <cell r="E254">
            <v>8</v>
          </cell>
        </row>
        <row r="255">
          <cell r="E255">
            <v>39</v>
          </cell>
        </row>
        <row r="256">
          <cell r="E256">
            <v>47</v>
          </cell>
        </row>
        <row r="257">
          <cell r="E257">
            <v>26</v>
          </cell>
        </row>
        <row r="258">
          <cell r="E258">
            <v>29</v>
          </cell>
        </row>
        <row r="259">
          <cell r="E259">
            <v>25</v>
          </cell>
        </row>
        <row r="260">
          <cell r="E260">
            <v>3</v>
          </cell>
        </row>
        <row r="261">
          <cell r="E261">
            <v>11</v>
          </cell>
        </row>
        <row r="262">
          <cell r="E262">
            <v>29</v>
          </cell>
        </row>
        <row r="263">
          <cell r="E263">
            <v>33</v>
          </cell>
        </row>
        <row r="264">
          <cell r="E264">
            <v>50</v>
          </cell>
        </row>
        <row r="265">
          <cell r="E265">
            <v>48</v>
          </cell>
        </row>
        <row r="266">
          <cell r="E266">
            <v>5</v>
          </cell>
        </row>
        <row r="267">
          <cell r="E267">
            <v>39</v>
          </cell>
        </row>
        <row r="268">
          <cell r="E268">
            <v>41</v>
          </cell>
        </row>
        <row r="269">
          <cell r="E269">
            <v>39</v>
          </cell>
        </row>
        <row r="270">
          <cell r="E270">
            <v>5</v>
          </cell>
        </row>
        <row r="271">
          <cell r="E271">
            <v>40</v>
          </cell>
        </row>
        <row r="272">
          <cell r="E272">
            <v>12</v>
          </cell>
        </row>
        <row r="273">
          <cell r="E273">
            <v>10</v>
          </cell>
        </row>
        <row r="274">
          <cell r="E274">
            <v>39</v>
          </cell>
        </row>
        <row r="275">
          <cell r="E275">
            <v>14</v>
          </cell>
        </row>
        <row r="276">
          <cell r="E276">
            <v>42</v>
          </cell>
        </row>
        <row r="277">
          <cell r="E277">
            <v>9</v>
          </cell>
        </row>
        <row r="278">
          <cell r="E278">
            <v>3</v>
          </cell>
        </row>
        <row r="279">
          <cell r="E279">
            <v>48</v>
          </cell>
        </row>
        <row r="280">
          <cell r="E280">
            <v>46</v>
          </cell>
        </row>
        <row r="281">
          <cell r="E281">
            <v>34</v>
          </cell>
        </row>
        <row r="282">
          <cell r="E282">
            <v>33</v>
          </cell>
        </row>
        <row r="283">
          <cell r="E283">
            <v>12</v>
          </cell>
        </row>
        <row r="284">
          <cell r="E284">
            <v>6</v>
          </cell>
        </row>
        <row r="285">
          <cell r="E285">
            <v>40</v>
          </cell>
        </row>
        <row r="286">
          <cell r="E286">
            <v>5</v>
          </cell>
        </row>
        <row r="287">
          <cell r="E287">
            <v>13</v>
          </cell>
        </row>
        <row r="288">
          <cell r="E288">
            <v>42</v>
          </cell>
        </row>
        <row r="289">
          <cell r="E289">
            <v>45</v>
          </cell>
        </row>
        <row r="290">
          <cell r="E290">
            <v>48</v>
          </cell>
        </row>
        <row r="291">
          <cell r="E291">
            <v>12</v>
          </cell>
        </row>
        <row r="292">
          <cell r="E292">
            <v>48</v>
          </cell>
        </row>
        <row r="293">
          <cell r="E293">
            <v>39</v>
          </cell>
        </row>
        <row r="294">
          <cell r="E294">
            <v>49</v>
          </cell>
        </row>
        <row r="295">
          <cell r="E295">
            <v>29</v>
          </cell>
        </row>
        <row r="296">
          <cell r="E296">
            <v>50</v>
          </cell>
        </row>
        <row r="297">
          <cell r="E297">
            <v>43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@gmail.com" TargetMode="External"/><Relationship Id="rId13" Type="http://schemas.openxmlformats.org/officeDocument/2006/relationships/hyperlink" Target="mailto:tamara@gmail.com" TargetMode="External"/><Relationship Id="rId3" Type="http://schemas.openxmlformats.org/officeDocument/2006/relationships/hyperlink" Target="mailto:nikola@gmail.com" TargetMode="External"/><Relationship Id="rId7" Type="http://schemas.openxmlformats.org/officeDocument/2006/relationships/hyperlink" Target="mailto:natasa@gmail.com" TargetMode="External"/><Relationship Id="rId12" Type="http://schemas.openxmlformats.org/officeDocument/2006/relationships/hyperlink" Target="mailto:ivan@gmail.com" TargetMode="External"/><Relationship Id="rId2" Type="http://schemas.openxmlformats.org/officeDocument/2006/relationships/hyperlink" Target="mailto:ana@gmail.com" TargetMode="External"/><Relationship Id="rId16" Type="http://schemas.openxmlformats.org/officeDocument/2006/relationships/hyperlink" Target="mailto:nina@gmail.com" TargetMode="External"/><Relationship Id="rId1" Type="http://schemas.openxmlformats.org/officeDocument/2006/relationships/hyperlink" Target="mailto:ana@gmail.com" TargetMode="External"/><Relationship Id="rId6" Type="http://schemas.openxmlformats.org/officeDocument/2006/relationships/hyperlink" Target="mailto:jovana@gmail.com" TargetMode="External"/><Relationship Id="rId11" Type="http://schemas.openxmlformats.org/officeDocument/2006/relationships/hyperlink" Target="mailto:marko@gmail.com" TargetMode="External"/><Relationship Id="rId5" Type="http://schemas.openxmlformats.org/officeDocument/2006/relationships/hyperlink" Target="mailto:petar@gmail.com" TargetMode="External"/><Relationship Id="rId15" Type="http://schemas.openxmlformats.org/officeDocument/2006/relationships/hyperlink" Target="mailto:milica@gmail.com" TargetMode="External"/><Relationship Id="rId10" Type="http://schemas.openxmlformats.org/officeDocument/2006/relationships/hyperlink" Target="mailto:nenad@gmail.com" TargetMode="External"/><Relationship Id="rId4" Type="http://schemas.openxmlformats.org/officeDocument/2006/relationships/hyperlink" Target="mailto:ognjen@gmail.com" TargetMode="External"/><Relationship Id="rId9" Type="http://schemas.openxmlformats.org/officeDocument/2006/relationships/hyperlink" Target="mailto:jelena@gmail.com" TargetMode="External"/><Relationship Id="rId14" Type="http://schemas.openxmlformats.org/officeDocument/2006/relationships/hyperlink" Target="mailto:zo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3A3C-4F4F-4766-812C-46ECE0F070F3}">
  <sheetPr>
    <tabColor rgb="FF00B050"/>
  </sheetPr>
  <dimension ref="A1:K16"/>
  <sheetViews>
    <sheetView topLeftCell="B1" zoomScaleNormal="100" workbookViewId="0">
      <selection activeCell="M12" sqref="M12"/>
    </sheetView>
  </sheetViews>
  <sheetFormatPr defaultRowHeight="14.4"/>
  <cols>
    <col min="1" max="1" width="7.88671875" style="3" hidden="1" customWidth="1"/>
    <col min="2" max="2" width="9.5546875" bestFit="1" customWidth="1"/>
    <col min="4" max="4" width="3.88671875" customWidth="1"/>
    <col min="5" max="5" width="17.44140625" style="26" customWidth="1"/>
    <col min="6" max="6" width="15.6640625" customWidth="1"/>
    <col min="7" max="7" width="13.44140625" customWidth="1"/>
    <col min="8" max="8" width="17.88671875" customWidth="1"/>
    <col min="9" max="9" width="14.88671875" customWidth="1"/>
    <col min="10" max="10" width="11.88671875" bestFit="1" customWidth="1"/>
    <col min="11" max="11" width="14.88671875" customWidth="1"/>
  </cols>
  <sheetData>
    <row r="1" spans="1:11" ht="15" customHeight="1">
      <c r="A1" s="24" t="s">
        <v>0</v>
      </c>
      <c r="B1" s="23" t="s">
        <v>1</v>
      </c>
      <c r="C1" s="23" t="s">
        <v>2</v>
      </c>
      <c r="D1" s="23" t="s">
        <v>3</v>
      </c>
      <c r="E1" s="25" t="s">
        <v>4</v>
      </c>
      <c r="F1" s="23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</row>
    <row r="2" spans="1:11">
      <c r="A2" s="5">
        <v>466126</v>
      </c>
      <c r="B2" s="6" t="s">
        <v>11</v>
      </c>
      <c r="C2" s="6" t="s">
        <v>12</v>
      </c>
      <c r="D2" s="5" t="s">
        <v>13</v>
      </c>
      <c r="E2" s="27" t="s">
        <v>14</v>
      </c>
      <c r="F2" s="7">
        <v>5</v>
      </c>
      <c r="G2" s="8">
        <v>44136</v>
      </c>
      <c r="H2" s="5" t="s">
        <v>15</v>
      </c>
      <c r="I2" s="6" t="s">
        <v>16</v>
      </c>
      <c r="J2" s="6">
        <v>2766</v>
      </c>
      <c r="K2" s="9">
        <v>45292</v>
      </c>
    </row>
    <row r="3" spans="1:11">
      <c r="A3" s="5">
        <v>163043</v>
      </c>
      <c r="B3" s="6" t="s">
        <v>17</v>
      </c>
      <c r="C3" s="6" t="s">
        <v>18</v>
      </c>
      <c r="D3" s="5" t="s">
        <v>19</v>
      </c>
      <c r="E3" s="27" t="s">
        <v>20</v>
      </c>
      <c r="F3" s="7">
        <v>6</v>
      </c>
      <c r="G3" s="8">
        <v>43406</v>
      </c>
      <c r="H3" s="5" t="s">
        <v>21</v>
      </c>
      <c r="I3" s="6" t="s">
        <v>22</v>
      </c>
      <c r="J3" s="6">
        <v>2631</v>
      </c>
      <c r="K3" s="9">
        <v>45293</v>
      </c>
    </row>
    <row r="4" spans="1:11">
      <c r="A4" s="5">
        <v>688897</v>
      </c>
      <c r="B4" s="6" t="s">
        <v>23</v>
      </c>
      <c r="C4" s="6" t="s">
        <v>24</v>
      </c>
      <c r="D4" s="5" t="s">
        <v>19</v>
      </c>
      <c r="E4" s="27" t="s">
        <v>25</v>
      </c>
      <c r="F4" s="7">
        <v>5</v>
      </c>
      <c r="G4" s="8">
        <v>41946</v>
      </c>
      <c r="H4" s="5" t="s">
        <v>15</v>
      </c>
      <c r="I4" s="6" t="s">
        <v>16</v>
      </c>
      <c r="J4" s="6">
        <v>3066</v>
      </c>
      <c r="K4" s="9">
        <v>45294</v>
      </c>
    </row>
    <row r="5" spans="1:11">
      <c r="A5" s="5">
        <v>259126</v>
      </c>
      <c r="B5" s="6" t="s">
        <v>26</v>
      </c>
      <c r="C5" s="6" t="s">
        <v>27</v>
      </c>
      <c r="D5" s="5" t="s">
        <v>19</v>
      </c>
      <c r="E5" s="27" t="s">
        <v>28</v>
      </c>
      <c r="F5" s="7">
        <v>6</v>
      </c>
      <c r="G5" s="8">
        <v>36834</v>
      </c>
      <c r="H5" s="5" t="s">
        <v>21</v>
      </c>
      <c r="I5" s="6" t="s">
        <v>22</v>
      </c>
      <c r="J5" s="6">
        <v>3558</v>
      </c>
      <c r="K5" s="9">
        <v>45295</v>
      </c>
    </row>
    <row r="6" spans="1:11">
      <c r="A6" s="5">
        <v>443480</v>
      </c>
      <c r="B6" s="6" t="s">
        <v>29</v>
      </c>
      <c r="C6" s="6" t="s">
        <v>30</v>
      </c>
      <c r="D6" s="5" t="s">
        <v>13</v>
      </c>
      <c r="E6" s="27" t="s">
        <v>31</v>
      </c>
      <c r="F6" s="7">
        <v>4</v>
      </c>
      <c r="G6" s="8">
        <v>37565</v>
      </c>
      <c r="H6" s="5" t="s">
        <v>15</v>
      </c>
      <c r="I6" s="6" t="s">
        <v>16</v>
      </c>
      <c r="J6" s="6">
        <v>3999</v>
      </c>
      <c r="K6" s="9">
        <v>45296</v>
      </c>
    </row>
    <row r="7" spans="1:11">
      <c r="A7" s="5">
        <v>673597</v>
      </c>
      <c r="B7" s="6" t="s">
        <v>26</v>
      </c>
      <c r="C7" s="6" t="s">
        <v>32</v>
      </c>
      <c r="D7" s="5" t="s">
        <v>13</v>
      </c>
      <c r="E7" s="27" t="s">
        <v>33</v>
      </c>
      <c r="F7" s="7">
        <v>6</v>
      </c>
      <c r="G7" s="8">
        <v>44141</v>
      </c>
      <c r="H7" s="5" t="s">
        <v>34</v>
      </c>
      <c r="I7" s="6" t="s">
        <v>22</v>
      </c>
      <c r="J7" s="6">
        <v>2256</v>
      </c>
      <c r="K7" s="9">
        <v>45297</v>
      </c>
    </row>
    <row r="8" spans="1:11">
      <c r="A8" s="5">
        <v>243994</v>
      </c>
      <c r="B8" s="6" t="s">
        <v>35</v>
      </c>
      <c r="C8" s="6" t="s">
        <v>36</v>
      </c>
      <c r="D8" s="5" t="s">
        <v>13</v>
      </c>
      <c r="E8" s="27" t="s">
        <v>37</v>
      </c>
      <c r="F8" s="7">
        <v>5</v>
      </c>
      <c r="G8" s="8">
        <v>44142</v>
      </c>
      <c r="H8" s="5" t="s">
        <v>15</v>
      </c>
      <c r="I8" s="6" t="s">
        <v>16</v>
      </c>
      <c r="J8" s="6">
        <v>2821</v>
      </c>
      <c r="K8" s="9">
        <v>45298</v>
      </c>
    </row>
    <row r="9" spans="1:11">
      <c r="A9" s="5">
        <v>675338</v>
      </c>
      <c r="B9" s="6" t="s">
        <v>29</v>
      </c>
      <c r="C9" s="6" t="s">
        <v>38</v>
      </c>
      <c r="D9" s="5" t="s">
        <v>13</v>
      </c>
      <c r="E9" s="27" t="s">
        <v>39</v>
      </c>
      <c r="F9" s="7">
        <v>6</v>
      </c>
      <c r="G9" s="8">
        <v>43047</v>
      </c>
      <c r="H9" s="5" t="s">
        <v>40</v>
      </c>
      <c r="I9" s="6" t="s">
        <v>22</v>
      </c>
      <c r="J9" s="6">
        <v>2151</v>
      </c>
      <c r="K9" s="9">
        <v>45299</v>
      </c>
    </row>
    <row r="10" spans="1:11">
      <c r="A10" s="5">
        <v>171444</v>
      </c>
      <c r="B10" s="6" t="s">
        <v>41</v>
      </c>
      <c r="C10" s="6" t="s">
        <v>42</v>
      </c>
      <c r="D10" s="5" t="s">
        <v>19</v>
      </c>
      <c r="E10" s="27" t="s">
        <v>43</v>
      </c>
      <c r="F10" s="7">
        <v>6</v>
      </c>
      <c r="G10" s="8">
        <v>44874</v>
      </c>
      <c r="H10" s="5" t="s">
        <v>15</v>
      </c>
      <c r="I10" s="6" t="s">
        <v>16</v>
      </c>
      <c r="J10" s="6">
        <v>2406</v>
      </c>
      <c r="K10" s="9">
        <v>45300</v>
      </c>
    </row>
    <row r="11" spans="1:11">
      <c r="A11" s="5">
        <v>318820</v>
      </c>
      <c r="B11" s="6" t="s">
        <v>44</v>
      </c>
      <c r="C11" s="6" t="s">
        <v>45</v>
      </c>
      <c r="D11" s="5" t="s">
        <v>19</v>
      </c>
      <c r="E11" s="27" t="s">
        <v>46</v>
      </c>
      <c r="F11" s="7">
        <v>5</v>
      </c>
      <c r="G11" s="8">
        <v>44510</v>
      </c>
      <c r="H11" s="5" t="s">
        <v>47</v>
      </c>
      <c r="I11" s="6" t="s">
        <v>48</v>
      </c>
      <c r="J11" s="6">
        <v>2473</v>
      </c>
      <c r="K11" s="9">
        <v>45301</v>
      </c>
    </row>
    <row r="12" spans="1:11">
      <c r="A12" s="5">
        <v>867741</v>
      </c>
      <c r="B12" s="6" t="s">
        <v>49</v>
      </c>
      <c r="C12" s="6" t="s">
        <v>50</v>
      </c>
      <c r="D12" s="5" t="s">
        <v>19</v>
      </c>
      <c r="E12" s="27" t="s">
        <v>51</v>
      </c>
      <c r="F12" s="7">
        <v>6</v>
      </c>
      <c r="G12" s="8">
        <v>44146</v>
      </c>
      <c r="H12" s="5" t="s">
        <v>52</v>
      </c>
      <c r="I12" s="6" t="s">
        <v>48</v>
      </c>
      <c r="J12" s="6">
        <v>3144</v>
      </c>
      <c r="K12" s="9">
        <v>45302</v>
      </c>
    </row>
    <row r="13" spans="1:11">
      <c r="A13" s="5">
        <v>550478</v>
      </c>
      <c r="B13" s="6" t="s">
        <v>53</v>
      </c>
      <c r="C13" s="6" t="s">
        <v>54</v>
      </c>
      <c r="D13" s="5" t="s">
        <v>13</v>
      </c>
      <c r="E13" s="27" t="s">
        <v>55</v>
      </c>
      <c r="F13" s="7">
        <v>5</v>
      </c>
      <c r="G13" s="8">
        <v>37572</v>
      </c>
      <c r="H13" s="5" t="s">
        <v>47</v>
      </c>
      <c r="I13" s="6" t="s">
        <v>48</v>
      </c>
      <c r="J13" s="6">
        <v>3727</v>
      </c>
      <c r="K13" s="9">
        <v>45303</v>
      </c>
    </row>
    <row r="14" spans="1:11">
      <c r="A14" s="5">
        <v>604018</v>
      </c>
      <c r="B14" s="6" t="s">
        <v>56</v>
      </c>
      <c r="C14" s="6" t="s">
        <v>57</v>
      </c>
      <c r="D14" s="5" t="s">
        <v>19</v>
      </c>
      <c r="E14" s="27" t="s">
        <v>58</v>
      </c>
      <c r="F14" s="7">
        <v>4</v>
      </c>
      <c r="G14" s="8">
        <v>40130</v>
      </c>
      <c r="H14" s="5" t="s">
        <v>59</v>
      </c>
      <c r="I14" s="6" t="s">
        <v>16</v>
      </c>
      <c r="J14" s="6">
        <v>1853</v>
      </c>
      <c r="K14" s="9">
        <v>45304</v>
      </c>
    </row>
    <row r="15" spans="1:11">
      <c r="A15" s="5">
        <v>219143</v>
      </c>
      <c r="B15" s="6" t="s">
        <v>60</v>
      </c>
      <c r="C15" s="6" t="s">
        <v>61</v>
      </c>
      <c r="D15" s="5" t="s">
        <v>13</v>
      </c>
      <c r="E15" s="27" t="s">
        <v>62</v>
      </c>
      <c r="F15" s="7">
        <v>6</v>
      </c>
      <c r="G15" s="8">
        <v>45244</v>
      </c>
      <c r="H15" s="5" t="s">
        <v>52</v>
      </c>
      <c r="I15" s="6" t="s">
        <v>48</v>
      </c>
      <c r="J15" s="6">
        <v>2609</v>
      </c>
      <c r="K15" s="9">
        <v>45305</v>
      </c>
    </row>
    <row r="16" spans="1:11">
      <c r="A16" s="5">
        <v>371111</v>
      </c>
      <c r="B16" s="6" t="s">
        <v>63</v>
      </c>
      <c r="C16" s="6" t="s">
        <v>64</v>
      </c>
      <c r="D16" s="5" t="s">
        <v>13</v>
      </c>
      <c r="E16" s="27" t="s">
        <v>65</v>
      </c>
      <c r="F16" s="7">
        <v>7</v>
      </c>
      <c r="G16" s="8">
        <v>36834</v>
      </c>
      <c r="H16" s="5" t="s">
        <v>66</v>
      </c>
      <c r="I16" s="6" t="s">
        <v>22</v>
      </c>
      <c r="J16" s="6">
        <v>6411</v>
      </c>
      <c r="K16" s="9">
        <v>45292</v>
      </c>
    </row>
  </sheetData>
  <autoFilter ref="A1:K16" xr:uid="{32263A3C-4F4F-4766-812C-46ECE0F070F3}"/>
  <sortState xmlns:xlrd2="http://schemas.microsoft.com/office/spreadsheetml/2017/richdata2" ref="A2:K15">
    <sortCondition ref="A1:A15"/>
  </sortState>
  <phoneticPr fontId="4" type="noConversion"/>
  <hyperlinks>
    <hyperlink ref="E2" r:id="rId1" xr:uid="{6FD71933-A0F5-4011-ACDB-07BB764FED55}"/>
    <hyperlink ref="E3:E15" r:id="rId2" display="ana@gmail.com" xr:uid="{50A1C9AF-E0E6-4B11-AF3F-1967414C736C}"/>
    <hyperlink ref="E3" r:id="rId3" xr:uid="{F2D590AE-AEB9-44EE-A4A1-58B15E4F8838}"/>
    <hyperlink ref="E4" r:id="rId4" xr:uid="{E6AA094F-F41F-4CF5-ABAD-F98E818C2F5A}"/>
    <hyperlink ref="E5" r:id="rId5" xr:uid="{29E8DB96-8434-4E9F-BFCD-C9302BFEAB3C}"/>
    <hyperlink ref="E6" r:id="rId6" xr:uid="{EC484AC6-C276-4A29-9E8B-939811B784B8}"/>
    <hyperlink ref="E7" r:id="rId7" xr:uid="{25F3F4F1-D926-4492-86C2-1935CD18DE53}"/>
    <hyperlink ref="E8" r:id="rId8" xr:uid="{EE6EBE8B-9C44-4854-9954-4BAA518DA3FF}"/>
    <hyperlink ref="E9" r:id="rId9" xr:uid="{F0D39C65-DE7A-4328-9604-E8262C7079D9}"/>
    <hyperlink ref="E10" r:id="rId10" xr:uid="{4028F795-A4C8-4A97-A9F4-AFEC46C30E4C}"/>
    <hyperlink ref="E11" r:id="rId11" xr:uid="{F001A9AC-1E41-407D-9772-F0B06D26AA40}"/>
    <hyperlink ref="E12" r:id="rId12" xr:uid="{5EA153F5-B1E1-421D-95F1-B084F1429312}"/>
    <hyperlink ref="E13" r:id="rId13" xr:uid="{C3BA3606-10CE-4DF0-A95A-77B322E8D55D}"/>
    <hyperlink ref="E14" r:id="rId14" xr:uid="{CBD574B7-324E-46A6-B76F-0AE6F45AF3BA}"/>
    <hyperlink ref="E15" r:id="rId15" xr:uid="{04253273-7FAB-49F6-A782-56C194AFE955}"/>
    <hyperlink ref="E16" r:id="rId16" xr:uid="{645277FE-D4DA-4D92-BB74-E100C43EC50B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FBBC713-717B-43D6-9BEB-7F08858FC38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Zaposleni!J16:J16</xm:f>
              <xm:sqref>K16</xm:sqref>
            </x14:sparkline>
          </x14:sparklines>
        </x14:sparklineGroup>
        <x14:sparklineGroup displayEmptyCellsAs="gap" xr2:uid="{9D7C4166-8B49-476C-8AE4-76273A0070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Zaposleni!J2:J2</xm:f>
              <xm:sqref>K2</xm:sqref>
            </x14:sparkline>
            <x14:sparkline>
              <xm:f>Zaposleni!J3:J3</xm:f>
              <xm:sqref>K3</xm:sqref>
            </x14:sparkline>
            <x14:sparkline>
              <xm:f>Zaposleni!J4:J4</xm:f>
              <xm:sqref>K4</xm:sqref>
            </x14:sparkline>
            <x14:sparkline>
              <xm:f>Zaposleni!J5:J5</xm:f>
              <xm:sqref>K5</xm:sqref>
            </x14:sparkline>
            <x14:sparkline>
              <xm:f>Zaposleni!J6:J6</xm:f>
              <xm:sqref>K6</xm:sqref>
            </x14:sparkline>
            <x14:sparkline>
              <xm:f>Zaposleni!J7:J7</xm:f>
              <xm:sqref>K7</xm:sqref>
            </x14:sparkline>
            <x14:sparkline>
              <xm:f>Zaposleni!J8:J8</xm:f>
              <xm:sqref>K8</xm:sqref>
            </x14:sparkline>
            <x14:sparkline>
              <xm:f>Zaposleni!J9:J9</xm:f>
              <xm:sqref>K9</xm:sqref>
            </x14:sparkline>
            <x14:sparkline>
              <xm:f>Zaposleni!J10:J10</xm:f>
              <xm:sqref>K10</xm:sqref>
            </x14:sparkline>
            <x14:sparkline>
              <xm:f>Zaposleni!J11:J11</xm:f>
              <xm:sqref>K11</xm:sqref>
            </x14:sparkline>
            <x14:sparkline>
              <xm:f>Zaposleni!J12:J12</xm:f>
              <xm:sqref>K12</xm:sqref>
            </x14:sparkline>
            <x14:sparkline>
              <xm:f>Zaposleni!J13:J13</xm:f>
              <xm:sqref>K13</xm:sqref>
            </x14:sparkline>
            <x14:sparkline>
              <xm:f>Zaposleni!J14:J14</xm:f>
              <xm:sqref>K14</xm:sqref>
            </x14:sparkline>
            <x14:sparkline>
              <xm:f>Zaposleni!J15:J15</xm:f>
              <xm:sqref>K15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2508-2415-4D2B-A4C2-1232B476258E}">
  <sheetPr>
    <tabColor rgb="FF00B0F0"/>
  </sheetPr>
  <dimension ref="A1:K33"/>
  <sheetViews>
    <sheetView workbookViewId="0">
      <selection activeCell="H14" sqref="H14"/>
    </sheetView>
  </sheetViews>
  <sheetFormatPr defaultRowHeight="14.4"/>
  <cols>
    <col min="1" max="1" width="7.109375" bestFit="1" customWidth="1"/>
    <col min="2" max="2" width="22.109375" customWidth="1"/>
    <col min="3" max="3" width="17.109375" bestFit="1" customWidth="1"/>
    <col min="4" max="4" width="15.44140625" bestFit="1" customWidth="1"/>
    <col min="5" max="5" width="16.109375" bestFit="1" customWidth="1"/>
    <col min="8" max="8" width="15.88671875" bestFit="1" customWidth="1"/>
    <col min="9" max="9" width="6.88671875" bestFit="1" customWidth="1"/>
    <col min="12" max="12" width="16.5546875" bestFit="1" customWidth="1"/>
  </cols>
  <sheetData>
    <row r="1" spans="1:11">
      <c r="A1" s="22" t="s">
        <v>67</v>
      </c>
      <c r="B1" s="22" t="s">
        <v>68</v>
      </c>
      <c r="C1" s="22" t="s">
        <v>69</v>
      </c>
      <c r="D1" s="22" t="s">
        <v>70</v>
      </c>
      <c r="E1" s="22" t="s">
        <v>71</v>
      </c>
      <c r="F1" s="10"/>
      <c r="G1" s="10"/>
      <c r="H1" s="10"/>
      <c r="I1" s="10"/>
      <c r="J1" s="10"/>
      <c r="K1" s="10"/>
    </row>
    <row r="2" spans="1:11">
      <c r="A2" s="6" t="s">
        <v>72</v>
      </c>
      <c r="B2" s="6" t="s">
        <v>73</v>
      </c>
      <c r="C2" s="6" t="s">
        <v>74</v>
      </c>
      <c r="D2" s="5">
        <v>1785</v>
      </c>
      <c r="E2" s="5">
        <v>2105</v>
      </c>
      <c r="F2" s="10"/>
      <c r="G2" s="10"/>
      <c r="H2" s="10"/>
      <c r="I2" s="10"/>
      <c r="J2" s="10"/>
      <c r="K2" s="10"/>
    </row>
    <row r="3" spans="1:11">
      <c r="A3" s="6" t="s">
        <v>75</v>
      </c>
      <c r="B3" s="6" t="s">
        <v>76</v>
      </c>
      <c r="C3" s="6" t="s">
        <v>77</v>
      </c>
      <c r="D3" s="5">
        <v>1888</v>
      </c>
      <c r="E3" s="5">
        <v>3740</v>
      </c>
      <c r="F3" s="10"/>
      <c r="G3" s="10"/>
      <c r="H3" s="10"/>
      <c r="I3" s="10"/>
      <c r="J3" s="11"/>
    </row>
    <row r="4" spans="1:11">
      <c r="A4" s="6" t="s">
        <v>78</v>
      </c>
      <c r="B4" s="6" t="s">
        <v>73</v>
      </c>
      <c r="C4" s="6" t="s">
        <v>79</v>
      </c>
      <c r="D4" s="5">
        <v>984</v>
      </c>
      <c r="E4" s="5">
        <v>1731</v>
      </c>
      <c r="F4" s="10"/>
      <c r="G4" s="10"/>
      <c r="H4" s="10"/>
      <c r="I4" s="10"/>
      <c r="J4" s="11"/>
    </row>
    <row r="5" spans="1:11">
      <c r="A5" s="6" t="s">
        <v>80</v>
      </c>
      <c r="B5" s="6" t="s">
        <v>73</v>
      </c>
      <c r="C5" s="6" t="s">
        <v>81</v>
      </c>
      <c r="D5" s="5">
        <v>2812</v>
      </c>
      <c r="E5" s="5">
        <v>3741</v>
      </c>
      <c r="F5" s="10"/>
      <c r="G5" s="10"/>
      <c r="H5" s="10"/>
      <c r="I5" s="10"/>
      <c r="J5" s="11"/>
    </row>
    <row r="6" spans="1:11">
      <c r="A6" s="6" t="s">
        <v>82</v>
      </c>
      <c r="B6" s="6" t="s">
        <v>73</v>
      </c>
      <c r="C6" s="6" t="s">
        <v>83</v>
      </c>
      <c r="D6" s="5">
        <v>2963</v>
      </c>
      <c r="E6" s="5">
        <v>3648</v>
      </c>
      <c r="F6" s="10"/>
      <c r="G6" s="10"/>
      <c r="H6" s="10"/>
      <c r="I6" s="10"/>
      <c r="J6" s="11"/>
    </row>
    <row r="7" spans="1:11">
      <c r="A7" s="6" t="s">
        <v>84</v>
      </c>
      <c r="B7" s="6" t="s">
        <v>76</v>
      </c>
      <c r="C7" s="6" t="s">
        <v>85</v>
      </c>
      <c r="D7" s="5">
        <v>1704</v>
      </c>
      <c r="E7" s="5">
        <v>2410</v>
      </c>
      <c r="F7" s="10"/>
      <c r="G7" s="10"/>
      <c r="H7" s="10"/>
      <c r="I7" s="10"/>
      <c r="J7" s="11"/>
    </row>
    <row r="8" spans="1:11">
      <c r="A8" s="6" t="s">
        <v>86</v>
      </c>
      <c r="B8" s="6" t="s">
        <v>87</v>
      </c>
      <c r="C8" s="6" t="s">
        <v>88</v>
      </c>
      <c r="D8" s="5">
        <v>960</v>
      </c>
      <c r="E8" s="5">
        <v>1129</v>
      </c>
      <c r="F8" s="10"/>
      <c r="G8" s="10"/>
      <c r="H8" s="10"/>
      <c r="I8" s="10"/>
      <c r="J8" s="11"/>
    </row>
    <row r="9" spans="1:11">
      <c r="A9" s="6" t="s">
        <v>89</v>
      </c>
      <c r="B9" s="6" t="s">
        <v>73</v>
      </c>
      <c r="C9" s="6" t="s">
        <v>90</v>
      </c>
      <c r="D9" s="5">
        <v>1640</v>
      </c>
      <c r="E9" s="5">
        <v>2083</v>
      </c>
      <c r="F9" s="10"/>
      <c r="G9" s="10"/>
      <c r="H9" s="10"/>
      <c r="I9" s="10"/>
      <c r="J9" s="11"/>
    </row>
    <row r="10" spans="1:11">
      <c r="A10" s="6" t="s">
        <v>91</v>
      </c>
      <c r="B10" s="6" t="s">
        <v>92</v>
      </c>
      <c r="C10" s="6" t="s">
        <v>93</v>
      </c>
      <c r="D10" s="5">
        <v>1513</v>
      </c>
      <c r="E10" s="5">
        <v>1930</v>
      </c>
      <c r="F10" s="10"/>
      <c r="G10" s="10"/>
      <c r="H10" s="10"/>
      <c r="I10" s="10"/>
      <c r="J10" s="11"/>
    </row>
    <row r="11" spans="1:11">
      <c r="A11" s="6" t="s">
        <v>94</v>
      </c>
      <c r="B11" s="6" t="s">
        <v>73</v>
      </c>
      <c r="C11" s="6" t="s">
        <v>95</v>
      </c>
      <c r="D11" s="5">
        <v>900</v>
      </c>
      <c r="E11" s="5">
        <v>1084</v>
      </c>
      <c r="F11" s="10"/>
      <c r="G11" s="10"/>
      <c r="H11" s="10"/>
      <c r="I11" s="10"/>
      <c r="J11" s="11"/>
    </row>
    <row r="12" spans="1:11">
      <c r="A12" s="6" t="s">
        <v>96</v>
      </c>
      <c r="B12" s="6" t="s">
        <v>73</v>
      </c>
      <c r="C12" s="6" t="s">
        <v>97</v>
      </c>
      <c r="D12" s="5">
        <v>1001</v>
      </c>
      <c r="E12" s="5">
        <v>1543</v>
      </c>
      <c r="F12" s="10"/>
      <c r="G12" s="10"/>
      <c r="H12" s="10"/>
      <c r="I12" s="10"/>
      <c r="J12" s="11"/>
    </row>
    <row r="13" spans="1:11">
      <c r="A13" s="6" t="s">
        <v>98</v>
      </c>
      <c r="B13" s="6" t="s">
        <v>73</v>
      </c>
      <c r="C13" s="6" t="s">
        <v>99</v>
      </c>
      <c r="D13" s="5">
        <v>1942</v>
      </c>
      <c r="E13" s="5">
        <v>2595</v>
      </c>
      <c r="F13" s="10"/>
      <c r="G13" s="10"/>
      <c r="H13" s="10"/>
      <c r="I13" s="10"/>
      <c r="J13" s="11"/>
    </row>
    <row r="14" spans="1:11">
      <c r="A14" s="6" t="s">
        <v>100</v>
      </c>
      <c r="B14" s="6" t="s">
        <v>101</v>
      </c>
      <c r="C14" s="6" t="s">
        <v>102</v>
      </c>
      <c r="D14" s="5">
        <v>1966</v>
      </c>
      <c r="E14" s="5">
        <v>2387</v>
      </c>
      <c r="F14" s="10"/>
      <c r="G14" s="10"/>
      <c r="H14" s="10"/>
      <c r="I14" s="10"/>
      <c r="J14" s="11"/>
    </row>
    <row r="15" spans="1:11">
      <c r="A15" s="6" t="s">
        <v>103</v>
      </c>
      <c r="B15" s="6" t="s">
        <v>101</v>
      </c>
      <c r="C15" s="6" t="s">
        <v>104</v>
      </c>
      <c r="D15" s="5">
        <v>1877</v>
      </c>
      <c r="E15" s="5">
        <v>2460</v>
      </c>
      <c r="F15" s="10"/>
      <c r="G15" s="10"/>
      <c r="H15" s="10"/>
      <c r="I15" s="10"/>
      <c r="J15" s="11"/>
    </row>
    <row r="16" spans="1:11">
      <c r="C16" s="4"/>
      <c r="F16" s="11"/>
      <c r="G16" s="11"/>
      <c r="H16" s="11"/>
      <c r="I16" s="11"/>
      <c r="J16" s="11"/>
    </row>
    <row r="17" spans="1:5">
      <c r="C17" s="4"/>
    </row>
    <row r="18" spans="1:5">
      <c r="A18" s="1"/>
      <c r="B18" s="1"/>
      <c r="D18" s="1"/>
      <c r="E18" s="1"/>
    </row>
    <row r="20" spans="1:5" ht="19.2">
      <c r="C20" s="2"/>
    </row>
    <row r="21" spans="1:5" ht="19.2">
      <c r="C21" s="2"/>
    </row>
    <row r="22" spans="1:5" ht="19.2">
      <c r="C22" s="2"/>
    </row>
    <row r="23" spans="1:5" ht="19.2">
      <c r="C23" s="2"/>
    </row>
    <row r="24" spans="1:5" ht="19.2">
      <c r="C24" s="2"/>
    </row>
    <row r="25" spans="1:5" ht="19.2">
      <c r="C25" s="2"/>
    </row>
    <row r="29" spans="1:5">
      <c r="C29" s="4"/>
    </row>
    <row r="30" spans="1:5">
      <c r="C30" s="4"/>
    </row>
    <row r="31" spans="1:5">
      <c r="C31" s="4"/>
    </row>
    <row r="32" spans="1:5">
      <c r="C32" s="4"/>
    </row>
    <row r="33" spans="3:3">
      <c r="C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600-DDE6-43BD-94EF-0CD70387B35C}">
  <sheetPr>
    <tabColor rgb="FF7030A0"/>
  </sheetPr>
  <dimension ref="A1:E11"/>
  <sheetViews>
    <sheetView workbookViewId="0">
      <selection activeCell="E13" sqref="E13"/>
    </sheetView>
  </sheetViews>
  <sheetFormatPr defaultRowHeight="14.4"/>
  <cols>
    <col min="1" max="1" width="3.88671875" bestFit="1" customWidth="1"/>
    <col min="2" max="2" width="20.109375" bestFit="1" customWidth="1"/>
    <col min="3" max="3" width="21.109375" bestFit="1" customWidth="1"/>
    <col min="4" max="4" width="11.44140625" style="3" bestFit="1" customWidth="1"/>
    <col min="5" max="5" width="14.88671875" bestFit="1" customWidth="1"/>
  </cols>
  <sheetData>
    <row r="1" spans="1:5">
      <c r="A1" s="22" t="s">
        <v>0</v>
      </c>
      <c r="B1" s="22" t="s">
        <v>105</v>
      </c>
      <c r="C1" s="23" t="s">
        <v>106</v>
      </c>
      <c r="D1" s="29" t="s">
        <v>107</v>
      </c>
      <c r="E1" s="22" t="s">
        <v>108</v>
      </c>
    </row>
    <row r="2" spans="1:5">
      <c r="A2" s="6">
        <v>108</v>
      </c>
      <c r="B2" s="6" t="s">
        <v>109</v>
      </c>
      <c r="C2" s="28" t="s">
        <v>110</v>
      </c>
      <c r="D2" s="5" t="s">
        <v>111</v>
      </c>
      <c r="E2" s="8">
        <v>38294</v>
      </c>
    </row>
    <row r="3" spans="1:5">
      <c r="A3" s="6">
        <v>157</v>
      </c>
      <c r="B3" s="6" t="s">
        <v>112</v>
      </c>
      <c r="C3" s="28" t="s">
        <v>113</v>
      </c>
      <c r="D3" s="5" t="s">
        <v>111</v>
      </c>
      <c r="E3" s="8">
        <v>37199</v>
      </c>
    </row>
    <row r="4" spans="1:5">
      <c r="A4" s="6">
        <v>163</v>
      </c>
      <c r="B4" s="6" t="s">
        <v>114</v>
      </c>
      <c r="C4" s="28" t="s">
        <v>115</v>
      </c>
      <c r="D4" s="5" t="s">
        <v>111</v>
      </c>
      <c r="E4" s="8">
        <v>37504</v>
      </c>
    </row>
    <row r="5" spans="1:5">
      <c r="A5" s="6">
        <v>179</v>
      </c>
      <c r="B5" s="6" t="s">
        <v>116</v>
      </c>
      <c r="C5" s="28" t="s">
        <v>117</v>
      </c>
      <c r="D5" s="5" t="s">
        <v>111</v>
      </c>
      <c r="E5" s="8">
        <v>38294</v>
      </c>
    </row>
    <row r="6" spans="1:5">
      <c r="A6" s="6">
        <v>127</v>
      </c>
      <c r="B6" s="6" t="s">
        <v>118</v>
      </c>
      <c r="C6" s="28" t="s">
        <v>119</v>
      </c>
      <c r="D6" s="5" t="s">
        <v>111</v>
      </c>
      <c r="E6" s="8">
        <v>36620</v>
      </c>
    </row>
    <row r="7" spans="1:5">
      <c r="A7" s="6">
        <v>195</v>
      </c>
      <c r="B7" s="6" t="s">
        <v>120</v>
      </c>
      <c r="C7" s="28" t="s">
        <v>121</v>
      </c>
      <c r="D7" s="5" t="s">
        <v>122</v>
      </c>
      <c r="E7" s="8">
        <v>31813</v>
      </c>
    </row>
    <row r="8" spans="1:5">
      <c r="A8" s="6">
        <v>153</v>
      </c>
      <c r="B8" s="6" t="s">
        <v>123</v>
      </c>
      <c r="C8" s="28" t="s">
        <v>124</v>
      </c>
      <c r="D8" s="5" t="s">
        <v>122</v>
      </c>
      <c r="E8" s="8">
        <v>33241</v>
      </c>
    </row>
    <row r="9" spans="1:5">
      <c r="A9" s="6">
        <v>151</v>
      </c>
      <c r="B9" s="6" t="s">
        <v>125</v>
      </c>
      <c r="C9" s="28" t="s">
        <v>121</v>
      </c>
      <c r="D9" s="5" t="s">
        <v>111</v>
      </c>
      <c r="E9" s="8">
        <v>36560</v>
      </c>
    </row>
    <row r="10" spans="1:5">
      <c r="A10" s="6">
        <v>186</v>
      </c>
      <c r="B10" s="6" t="s">
        <v>126</v>
      </c>
      <c r="C10" s="28" t="s">
        <v>110</v>
      </c>
      <c r="D10" s="5" t="s">
        <v>111</v>
      </c>
      <c r="E10" s="8">
        <v>41126</v>
      </c>
    </row>
    <row r="11" spans="1:5">
      <c r="A11" s="6">
        <v>152</v>
      </c>
      <c r="B11" s="6" t="s">
        <v>127</v>
      </c>
      <c r="C11" s="28" t="s">
        <v>121</v>
      </c>
      <c r="D11" s="5" t="s">
        <v>111</v>
      </c>
      <c r="E11" s="8">
        <v>36467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8577-EA63-482A-A2C7-E407101BE567}">
  <sheetPr>
    <tabColor rgb="FFFFFF00"/>
  </sheetPr>
  <dimension ref="A1:I382"/>
  <sheetViews>
    <sheetView topLeftCell="A275" zoomScaleNormal="100" workbookViewId="0">
      <selection sqref="A1:F297"/>
    </sheetView>
  </sheetViews>
  <sheetFormatPr defaultRowHeight="14.4"/>
  <cols>
    <col min="1" max="1" width="9.109375" style="3" bestFit="1" customWidth="1"/>
    <col min="2" max="2" width="15.6640625" style="16" customWidth="1"/>
    <col min="3" max="3" width="13.44140625" style="3" bestFit="1" customWidth="1"/>
    <col min="4" max="4" width="19.109375" style="3" customWidth="1"/>
    <col min="5" max="5" width="20.6640625" style="3" bestFit="1" customWidth="1"/>
    <col min="6" max="6" width="10.5546875" bestFit="1" customWidth="1"/>
    <col min="7" max="7" width="9.88671875" bestFit="1" customWidth="1"/>
    <col min="8" max="8" width="18.6640625" customWidth="1"/>
  </cols>
  <sheetData>
    <row r="1" spans="1:9">
      <c r="A1" s="19" t="s">
        <v>128</v>
      </c>
      <c r="B1" s="18" t="s">
        <v>129</v>
      </c>
      <c r="C1" s="20" t="s">
        <v>130</v>
      </c>
      <c r="D1" s="21" t="s">
        <v>131</v>
      </c>
      <c r="E1" s="21" t="s">
        <v>132</v>
      </c>
      <c r="F1" s="31" t="s">
        <v>133</v>
      </c>
    </row>
    <row r="2" spans="1:9">
      <c r="A2" s="5">
        <v>195</v>
      </c>
      <c r="B2" s="15">
        <v>45307</v>
      </c>
      <c r="C2" s="5">
        <v>466126</v>
      </c>
      <c r="D2" s="5" t="s">
        <v>80</v>
      </c>
      <c r="E2" s="5">
        <v>29</v>
      </c>
      <c r="F2" s="32" t="s">
        <v>134</v>
      </c>
      <c r="G2" s="12"/>
      <c r="H2" s="12"/>
      <c r="I2" s="13"/>
    </row>
    <row r="3" spans="1:9">
      <c r="A3" s="5">
        <v>153</v>
      </c>
      <c r="B3" s="15">
        <v>45308</v>
      </c>
      <c r="C3" s="5">
        <v>443480</v>
      </c>
      <c r="D3" s="5" t="s">
        <v>91</v>
      </c>
      <c r="E3" s="5">
        <v>7</v>
      </c>
      <c r="F3" s="32" t="s">
        <v>135</v>
      </c>
      <c r="H3" s="14"/>
      <c r="I3" s="14"/>
    </row>
    <row r="4" spans="1:9">
      <c r="A4" s="5">
        <v>153</v>
      </c>
      <c r="B4" s="15">
        <v>45361</v>
      </c>
      <c r="C4" s="5">
        <v>688897</v>
      </c>
      <c r="D4" s="5" t="s">
        <v>78</v>
      </c>
      <c r="E4" s="5">
        <v>12</v>
      </c>
      <c r="F4" s="32" t="s">
        <v>136</v>
      </c>
    </row>
    <row r="5" spans="1:9">
      <c r="A5" s="5">
        <v>153</v>
      </c>
      <c r="B5" s="15">
        <v>45363</v>
      </c>
      <c r="C5" s="5">
        <v>688897</v>
      </c>
      <c r="D5" s="5" t="s">
        <v>96</v>
      </c>
      <c r="E5" s="5">
        <v>34</v>
      </c>
      <c r="F5" s="32" t="s">
        <v>137</v>
      </c>
      <c r="G5" s="17"/>
      <c r="H5" s="17"/>
    </row>
    <row r="6" spans="1:9">
      <c r="A6" s="5">
        <v>108</v>
      </c>
      <c r="B6" s="15">
        <v>45321</v>
      </c>
      <c r="C6" s="5">
        <v>466126</v>
      </c>
      <c r="D6" s="5" t="s">
        <v>100</v>
      </c>
      <c r="E6" s="5">
        <v>34</v>
      </c>
      <c r="F6" s="32" t="s">
        <v>138</v>
      </c>
      <c r="H6" s="17"/>
    </row>
    <row r="7" spans="1:9">
      <c r="A7" s="5">
        <v>151</v>
      </c>
      <c r="B7" s="15">
        <v>45336</v>
      </c>
      <c r="C7" s="5">
        <v>443480</v>
      </c>
      <c r="D7" s="5" t="s">
        <v>80</v>
      </c>
      <c r="E7" s="5">
        <v>41</v>
      </c>
      <c r="F7" s="32" t="s">
        <v>139</v>
      </c>
      <c r="H7" s="17"/>
    </row>
    <row r="8" spans="1:9">
      <c r="A8" s="5">
        <v>186</v>
      </c>
      <c r="B8" s="15">
        <v>45328</v>
      </c>
      <c r="C8" s="5">
        <v>243994</v>
      </c>
      <c r="D8" s="5" t="s">
        <v>96</v>
      </c>
      <c r="E8" s="5">
        <v>26</v>
      </c>
      <c r="F8" s="32" t="s">
        <v>140</v>
      </c>
      <c r="H8" s="17"/>
    </row>
    <row r="9" spans="1:9">
      <c r="A9" s="5">
        <v>179</v>
      </c>
      <c r="B9" s="15">
        <v>45315</v>
      </c>
      <c r="C9" s="5">
        <v>243994</v>
      </c>
      <c r="D9" s="5" t="s">
        <v>94</v>
      </c>
      <c r="E9" s="5">
        <v>12</v>
      </c>
      <c r="F9" s="32" t="s">
        <v>141</v>
      </c>
      <c r="H9" s="17"/>
    </row>
    <row r="10" spans="1:9">
      <c r="A10" s="5">
        <v>151</v>
      </c>
      <c r="B10" s="15">
        <v>45328</v>
      </c>
      <c r="C10" s="5">
        <v>443480</v>
      </c>
      <c r="D10" s="5" t="s">
        <v>89</v>
      </c>
      <c r="E10" s="5">
        <v>49</v>
      </c>
      <c r="F10" s="32" t="s">
        <v>142</v>
      </c>
      <c r="H10" s="17"/>
    </row>
    <row r="11" spans="1:9">
      <c r="A11" s="5">
        <v>151</v>
      </c>
      <c r="B11" s="15">
        <v>45310</v>
      </c>
      <c r="C11" s="5">
        <v>443480</v>
      </c>
      <c r="D11" s="5" t="s">
        <v>98</v>
      </c>
      <c r="E11" s="5">
        <v>41</v>
      </c>
      <c r="F11" s="32" t="s">
        <v>143</v>
      </c>
      <c r="H11" s="17"/>
    </row>
    <row r="12" spans="1:9">
      <c r="A12" s="5">
        <v>163</v>
      </c>
      <c r="B12" s="15">
        <v>45347</v>
      </c>
      <c r="C12" s="5">
        <v>443480</v>
      </c>
      <c r="D12" s="5" t="s">
        <v>72</v>
      </c>
      <c r="E12" s="5">
        <v>36</v>
      </c>
      <c r="F12" s="32" t="s">
        <v>144</v>
      </c>
      <c r="H12" s="17"/>
    </row>
    <row r="13" spans="1:9">
      <c r="A13" s="5">
        <v>153</v>
      </c>
      <c r="B13" s="15">
        <v>45353</v>
      </c>
      <c r="C13" s="5">
        <v>688897</v>
      </c>
      <c r="D13" s="5" t="s">
        <v>86</v>
      </c>
      <c r="E13" s="5">
        <v>5</v>
      </c>
      <c r="F13" s="32" t="s">
        <v>145</v>
      </c>
      <c r="H13" s="17"/>
    </row>
    <row r="14" spans="1:9">
      <c r="A14" s="5">
        <v>151</v>
      </c>
      <c r="B14" s="15">
        <v>45301</v>
      </c>
      <c r="C14" s="5">
        <v>243994</v>
      </c>
      <c r="D14" s="5" t="s">
        <v>94</v>
      </c>
      <c r="E14" s="5">
        <v>33</v>
      </c>
      <c r="F14" s="32" t="s">
        <v>146</v>
      </c>
      <c r="H14" s="17"/>
    </row>
    <row r="15" spans="1:9">
      <c r="A15" s="5">
        <v>152</v>
      </c>
      <c r="B15" s="15">
        <v>45330</v>
      </c>
      <c r="C15" s="5">
        <v>171444</v>
      </c>
      <c r="D15" s="5" t="s">
        <v>80</v>
      </c>
      <c r="E15" s="5">
        <v>46</v>
      </c>
      <c r="F15" s="32" t="s">
        <v>147</v>
      </c>
      <c r="H15" s="17"/>
    </row>
    <row r="16" spans="1:9">
      <c r="A16" s="5">
        <v>108</v>
      </c>
      <c r="B16" s="15">
        <v>45373</v>
      </c>
      <c r="C16" s="5">
        <v>466126</v>
      </c>
      <c r="D16" s="5" t="s">
        <v>78</v>
      </c>
      <c r="E16" s="5">
        <v>2</v>
      </c>
      <c r="F16" s="32" t="s">
        <v>148</v>
      </c>
      <c r="H16" s="17"/>
    </row>
    <row r="17" spans="1:8">
      <c r="A17" s="5">
        <v>108</v>
      </c>
      <c r="B17" s="15">
        <v>45373</v>
      </c>
      <c r="C17" s="5">
        <v>466126</v>
      </c>
      <c r="D17" s="5" t="s">
        <v>78</v>
      </c>
      <c r="E17" s="5">
        <v>31</v>
      </c>
      <c r="F17" s="32" t="s">
        <v>149</v>
      </c>
      <c r="H17" s="17"/>
    </row>
    <row r="18" spans="1:8">
      <c r="A18" s="5">
        <v>127</v>
      </c>
      <c r="B18" s="15">
        <v>45363</v>
      </c>
      <c r="C18" s="5">
        <v>171444</v>
      </c>
      <c r="D18" s="5" t="s">
        <v>72</v>
      </c>
      <c r="E18" s="5">
        <v>21</v>
      </c>
      <c r="F18" s="32" t="s">
        <v>150</v>
      </c>
      <c r="H18" s="17"/>
    </row>
    <row r="19" spans="1:8">
      <c r="A19" s="5">
        <v>179</v>
      </c>
      <c r="B19" s="15">
        <v>45379</v>
      </c>
      <c r="C19" s="5">
        <v>243994</v>
      </c>
      <c r="D19" s="5" t="s">
        <v>98</v>
      </c>
      <c r="E19" s="5">
        <v>23</v>
      </c>
      <c r="F19" s="32" t="s">
        <v>151</v>
      </c>
      <c r="H19" s="17"/>
    </row>
    <row r="20" spans="1:8">
      <c r="A20" s="5">
        <v>157</v>
      </c>
      <c r="B20" s="15">
        <v>45349</v>
      </c>
      <c r="C20" s="5">
        <v>688897</v>
      </c>
      <c r="D20" s="5" t="s">
        <v>94</v>
      </c>
      <c r="E20" s="5">
        <v>19</v>
      </c>
      <c r="F20" s="32" t="s">
        <v>152</v>
      </c>
      <c r="H20" s="17"/>
    </row>
    <row r="21" spans="1:8">
      <c r="A21" s="5">
        <v>163</v>
      </c>
      <c r="B21" s="15">
        <v>45329</v>
      </c>
      <c r="C21" s="5">
        <v>443480</v>
      </c>
      <c r="D21" s="5" t="s">
        <v>78</v>
      </c>
      <c r="E21" s="5">
        <v>49</v>
      </c>
      <c r="F21" s="32" t="s">
        <v>153</v>
      </c>
      <c r="H21" s="17"/>
    </row>
    <row r="22" spans="1:8">
      <c r="A22" s="5">
        <v>186</v>
      </c>
      <c r="B22" s="15">
        <v>45310</v>
      </c>
      <c r="C22" s="5">
        <v>243994</v>
      </c>
      <c r="D22" s="5" t="s">
        <v>96</v>
      </c>
      <c r="E22" s="5">
        <v>31</v>
      </c>
      <c r="F22" s="32" t="s">
        <v>154</v>
      </c>
      <c r="H22" s="17"/>
    </row>
    <row r="23" spans="1:8">
      <c r="A23" s="5">
        <v>186</v>
      </c>
      <c r="B23" s="15">
        <v>45375</v>
      </c>
      <c r="C23" s="5">
        <v>243994</v>
      </c>
      <c r="D23" s="5" t="s">
        <v>78</v>
      </c>
      <c r="E23" s="5">
        <v>28</v>
      </c>
      <c r="F23" s="32" t="s">
        <v>155</v>
      </c>
      <c r="H23" s="17"/>
    </row>
    <row r="24" spans="1:8">
      <c r="A24" s="5">
        <v>151</v>
      </c>
      <c r="B24" s="15">
        <v>45328</v>
      </c>
      <c r="C24" s="5">
        <v>243994</v>
      </c>
      <c r="D24" s="5" t="s">
        <v>84</v>
      </c>
      <c r="E24" s="5">
        <v>43</v>
      </c>
      <c r="F24" s="32" t="s">
        <v>156</v>
      </c>
      <c r="H24" s="17"/>
    </row>
    <row r="25" spans="1:8">
      <c r="A25" s="5">
        <v>152</v>
      </c>
      <c r="B25" s="15">
        <v>45320</v>
      </c>
      <c r="C25" s="5">
        <v>171444</v>
      </c>
      <c r="D25" s="5" t="s">
        <v>84</v>
      </c>
      <c r="E25" s="5">
        <v>8</v>
      </c>
      <c r="F25" s="32" t="s">
        <v>157</v>
      </c>
      <c r="H25" s="17"/>
    </row>
    <row r="26" spans="1:8">
      <c r="A26" s="5">
        <v>163</v>
      </c>
      <c r="B26" s="15">
        <v>45310</v>
      </c>
      <c r="C26" s="5">
        <v>443480</v>
      </c>
      <c r="D26" s="5" t="s">
        <v>72</v>
      </c>
      <c r="E26" s="5">
        <v>47</v>
      </c>
      <c r="F26" s="32" t="s">
        <v>158</v>
      </c>
      <c r="H26" s="17"/>
    </row>
    <row r="27" spans="1:8">
      <c r="A27" s="5">
        <v>179</v>
      </c>
      <c r="B27" s="15">
        <v>45370</v>
      </c>
      <c r="C27" s="5">
        <v>243994</v>
      </c>
      <c r="D27" s="5" t="s">
        <v>103</v>
      </c>
      <c r="E27" s="5">
        <v>50</v>
      </c>
      <c r="F27" s="32" t="s">
        <v>159</v>
      </c>
      <c r="H27" s="17"/>
    </row>
    <row r="28" spans="1:8">
      <c r="A28" s="5">
        <v>179</v>
      </c>
      <c r="B28" s="15">
        <v>45303</v>
      </c>
      <c r="C28" s="5">
        <v>243994</v>
      </c>
      <c r="D28" s="5" t="s">
        <v>103</v>
      </c>
      <c r="E28" s="5">
        <v>26</v>
      </c>
      <c r="F28" s="32" t="s">
        <v>160</v>
      </c>
      <c r="H28" s="17"/>
    </row>
    <row r="29" spans="1:8">
      <c r="A29" s="5">
        <v>195</v>
      </c>
      <c r="B29" s="15">
        <v>45314</v>
      </c>
      <c r="C29" s="5">
        <v>466126</v>
      </c>
      <c r="D29" s="5" t="s">
        <v>98</v>
      </c>
      <c r="E29" s="5">
        <v>33</v>
      </c>
      <c r="F29" s="32" t="s">
        <v>161</v>
      </c>
      <c r="H29" s="17"/>
    </row>
    <row r="30" spans="1:8">
      <c r="A30" s="5">
        <v>163</v>
      </c>
      <c r="B30" s="15">
        <v>45373</v>
      </c>
      <c r="C30" s="5">
        <v>443480</v>
      </c>
      <c r="D30" s="5" t="s">
        <v>86</v>
      </c>
      <c r="E30" s="5">
        <v>47</v>
      </c>
      <c r="F30" s="32" t="s">
        <v>162</v>
      </c>
      <c r="H30" s="17"/>
    </row>
    <row r="31" spans="1:8">
      <c r="A31" s="5">
        <v>152</v>
      </c>
      <c r="B31" s="15">
        <v>45367</v>
      </c>
      <c r="C31" s="5">
        <v>171444</v>
      </c>
      <c r="D31" s="5" t="s">
        <v>98</v>
      </c>
      <c r="E31" s="5">
        <v>22</v>
      </c>
      <c r="F31" s="32" t="s">
        <v>163</v>
      </c>
      <c r="H31" s="17"/>
    </row>
    <row r="32" spans="1:8">
      <c r="A32" s="5">
        <v>179</v>
      </c>
      <c r="B32" s="15">
        <v>45333</v>
      </c>
      <c r="C32" s="5">
        <v>243994</v>
      </c>
      <c r="D32" s="5" t="s">
        <v>98</v>
      </c>
      <c r="E32" s="5">
        <v>12</v>
      </c>
      <c r="F32" s="32" t="s">
        <v>164</v>
      </c>
      <c r="H32" s="17"/>
    </row>
    <row r="33" spans="1:8">
      <c r="A33" s="5">
        <v>108</v>
      </c>
      <c r="B33" s="15">
        <v>45380</v>
      </c>
      <c r="C33" s="5">
        <v>466126</v>
      </c>
      <c r="D33" s="5" t="s">
        <v>96</v>
      </c>
      <c r="E33" s="5">
        <v>42</v>
      </c>
      <c r="F33" s="32" t="s">
        <v>165</v>
      </c>
      <c r="H33" s="17"/>
    </row>
    <row r="34" spans="1:8">
      <c r="A34" s="5">
        <v>163</v>
      </c>
      <c r="B34" s="15">
        <v>45301</v>
      </c>
      <c r="C34" s="5">
        <v>443480</v>
      </c>
      <c r="D34" s="5" t="s">
        <v>78</v>
      </c>
      <c r="E34" s="5">
        <v>6</v>
      </c>
      <c r="F34" s="32" t="s">
        <v>166</v>
      </c>
      <c r="H34" s="17"/>
    </row>
    <row r="35" spans="1:8">
      <c r="A35" s="5">
        <v>127</v>
      </c>
      <c r="B35" s="15">
        <v>45359</v>
      </c>
      <c r="C35" s="5">
        <v>171444</v>
      </c>
      <c r="D35" s="5" t="s">
        <v>86</v>
      </c>
      <c r="E35" s="5">
        <v>8</v>
      </c>
      <c r="F35" s="32" t="s">
        <v>167</v>
      </c>
      <c r="H35" s="17"/>
    </row>
    <row r="36" spans="1:8">
      <c r="A36" s="5">
        <v>157</v>
      </c>
      <c r="B36" s="15">
        <v>45302</v>
      </c>
      <c r="C36" s="5">
        <v>688897</v>
      </c>
      <c r="D36" s="5" t="s">
        <v>84</v>
      </c>
      <c r="E36" s="5">
        <v>14</v>
      </c>
      <c r="F36" s="32" t="s">
        <v>168</v>
      </c>
      <c r="H36" s="17"/>
    </row>
    <row r="37" spans="1:8">
      <c r="A37" s="5">
        <v>157</v>
      </c>
      <c r="B37" s="15">
        <v>45319</v>
      </c>
      <c r="C37" s="5">
        <v>688897</v>
      </c>
      <c r="D37" s="5" t="s">
        <v>84</v>
      </c>
      <c r="E37" s="5">
        <v>3</v>
      </c>
      <c r="F37" s="32" t="s">
        <v>169</v>
      </c>
      <c r="H37" s="17"/>
    </row>
    <row r="38" spans="1:8">
      <c r="A38" s="5">
        <v>153</v>
      </c>
      <c r="B38" s="15">
        <v>45336</v>
      </c>
      <c r="C38" s="5">
        <v>688897</v>
      </c>
      <c r="D38" s="5" t="s">
        <v>78</v>
      </c>
      <c r="E38" s="5">
        <v>33</v>
      </c>
      <c r="F38" s="32" t="s">
        <v>170</v>
      </c>
      <c r="H38" s="17"/>
    </row>
    <row r="39" spans="1:8">
      <c r="A39" s="5">
        <v>195</v>
      </c>
      <c r="B39" s="15">
        <v>45366</v>
      </c>
      <c r="C39" s="5">
        <v>466126</v>
      </c>
      <c r="D39" s="5" t="s">
        <v>98</v>
      </c>
      <c r="E39" s="5">
        <v>44</v>
      </c>
      <c r="F39" s="32" t="s">
        <v>171</v>
      </c>
      <c r="H39" s="17"/>
    </row>
    <row r="40" spans="1:8">
      <c r="A40" s="5">
        <v>153</v>
      </c>
      <c r="B40" s="15">
        <v>45363</v>
      </c>
      <c r="C40" s="5">
        <v>688897</v>
      </c>
      <c r="D40" s="5" t="s">
        <v>82</v>
      </c>
      <c r="E40" s="5">
        <v>46</v>
      </c>
      <c r="F40" s="32" t="s">
        <v>172</v>
      </c>
      <c r="H40" s="17"/>
    </row>
    <row r="41" spans="1:8">
      <c r="A41" s="5">
        <v>157</v>
      </c>
      <c r="B41" s="15">
        <v>45323</v>
      </c>
      <c r="C41" s="5">
        <v>688897</v>
      </c>
      <c r="D41" s="5" t="s">
        <v>89</v>
      </c>
      <c r="E41" s="5">
        <v>16</v>
      </c>
      <c r="F41" s="32" t="s">
        <v>173</v>
      </c>
      <c r="H41" s="17"/>
    </row>
    <row r="42" spans="1:8">
      <c r="A42" s="5">
        <v>152</v>
      </c>
      <c r="B42" s="15">
        <v>45299</v>
      </c>
      <c r="C42" s="5">
        <v>171444</v>
      </c>
      <c r="D42" s="5" t="s">
        <v>98</v>
      </c>
      <c r="E42" s="5">
        <v>25</v>
      </c>
      <c r="F42" s="32" t="s">
        <v>174</v>
      </c>
      <c r="H42" s="17"/>
    </row>
    <row r="43" spans="1:8">
      <c r="A43" s="5">
        <v>108</v>
      </c>
      <c r="B43" s="15">
        <v>45359</v>
      </c>
      <c r="C43" s="5">
        <v>466126</v>
      </c>
      <c r="D43" s="5" t="s">
        <v>96</v>
      </c>
      <c r="E43" s="5">
        <v>46</v>
      </c>
      <c r="F43" s="32" t="s">
        <v>175</v>
      </c>
      <c r="H43" s="17"/>
    </row>
    <row r="44" spans="1:8">
      <c r="A44" s="5">
        <v>151</v>
      </c>
      <c r="B44" s="15">
        <v>45306</v>
      </c>
      <c r="C44" s="5">
        <v>443480</v>
      </c>
      <c r="D44" s="5" t="s">
        <v>98</v>
      </c>
      <c r="E44" s="5">
        <v>50</v>
      </c>
      <c r="F44" s="32" t="s">
        <v>176</v>
      </c>
      <c r="H44" s="17"/>
    </row>
    <row r="45" spans="1:8">
      <c r="A45" s="5">
        <v>157</v>
      </c>
      <c r="B45" s="15">
        <v>45299</v>
      </c>
      <c r="C45" s="5">
        <v>688897</v>
      </c>
      <c r="D45" s="5" t="s">
        <v>98</v>
      </c>
      <c r="E45" s="5">
        <v>25</v>
      </c>
      <c r="F45" s="32" t="s">
        <v>177</v>
      </c>
      <c r="H45" s="17"/>
    </row>
    <row r="46" spans="1:8">
      <c r="A46" s="5">
        <v>195</v>
      </c>
      <c r="B46" s="15">
        <v>45321</v>
      </c>
      <c r="C46" s="5">
        <v>466126</v>
      </c>
      <c r="D46" s="5" t="s">
        <v>75</v>
      </c>
      <c r="E46" s="5">
        <v>5</v>
      </c>
      <c r="F46" s="32" t="s">
        <v>178</v>
      </c>
      <c r="H46" s="17"/>
    </row>
    <row r="47" spans="1:8">
      <c r="A47" s="5">
        <v>153</v>
      </c>
      <c r="B47" s="15">
        <v>45352</v>
      </c>
      <c r="C47" s="5">
        <v>688897</v>
      </c>
      <c r="D47" s="5" t="s">
        <v>86</v>
      </c>
      <c r="E47" s="5">
        <v>23</v>
      </c>
      <c r="F47" s="32" t="s">
        <v>179</v>
      </c>
      <c r="H47" s="17"/>
    </row>
    <row r="48" spans="1:8">
      <c r="A48" s="5">
        <v>157</v>
      </c>
      <c r="B48" s="15">
        <v>45358</v>
      </c>
      <c r="C48" s="5">
        <v>688897</v>
      </c>
      <c r="D48" s="5" t="s">
        <v>75</v>
      </c>
      <c r="E48" s="5">
        <v>23</v>
      </c>
      <c r="F48" s="32" t="s">
        <v>180</v>
      </c>
      <c r="H48" s="17"/>
    </row>
    <row r="49" spans="1:8">
      <c r="A49" s="5">
        <v>152</v>
      </c>
      <c r="B49" s="15">
        <v>45364</v>
      </c>
      <c r="C49" s="5">
        <v>171444</v>
      </c>
      <c r="D49" s="5" t="s">
        <v>103</v>
      </c>
      <c r="E49" s="5">
        <v>2</v>
      </c>
      <c r="F49" s="32" t="s">
        <v>181</v>
      </c>
      <c r="H49" s="17"/>
    </row>
    <row r="50" spans="1:8">
      <c r="A50" s="5">
        <v>152</v>
      </c>
      <c r="B50" s="15">
        <v>45305</v>
      </c>
      <c r="C50" s="5">
        <v>466126</v>
      </c>
      <c r="D50" s="5" t="s">
        <v>89</v>
      </c>
      <c r="E50" s="5">
        <v>49</v>
      </c>
      <c r="F50" s="32" t="s">
        <v>182</v>
      </c>
      <c r="H50" s="17"/>
    </row>
    <row r="51" spans="1:8">
      <c r="A51" s="5">
        <v>163</v>
      </c>
      <c r="B51" s="15">
        <v>45336</v>
      </c>
      <c r="C51" s="5">
        <v>443480</v>
      </c>
      <c r="D51" s="5" t="s">
        <v>78</v>
      </c>
      <c r="E51" s="5">
        <v>36</v>
      </c>
      <c r="F51" s="32" t="s">
        <v>183</v>
      </c>
      <c r="H51" s="17"/>
    </row>
    <row r="52" spans="1:8">
      <c r="A52" s="5">
        <v>179</v>
      </c>
      <c r="B52" s="15">
        <v>45368</v>
      </c>
      <c r="C52" s="5">
        <v>243994</v>
      </c>
      <c r="D52" s="5" t="s">
        <v>94</v>
      </c>
      <c r="E52" s="5">
        <v>45</v>
      </c>
      <c r="F52" s="32" t="s">
        <v>184</v>
      </c>
      <c r="H52" s="17"/>
    </row>
    <row r="53" spans="1:8">
      <c r="A53" s="5">
        <v>195</v>
      </c>
      <c r="B53" s="15">
        <v>45351</v>
      </c>
      <c r="C53" s="5">
        <v>466126</v>
      </c>
      <c r="D53" s="5" t="s">
        <v>94</v>
      </c>
      <c r="E53" s="5">
        <v>21</v>
      </c>
      <c r="F53" s="32" t="s">
        <v>185</v>
      </c>
      <c r="H53" s="17"/>
    </row>
    <row r="54" spans="1:8">
      <c r="A54" s="5">
        <v>152</v>
      </c>
      <c r="B54" s="15">
        <v>45342</v>
      </c>
      <c r="C54" s="5">
        <v>171444</v>
      </c>
      <c r="D54" s="5" t="s">
        <v>103</v>
      </c>
      <c r="E54" s="5">
        <v>28</v>
      </c>
      <c r="F54" s="32" t="s">
        <v>186</v>
      </c>
      <c r="H54" s="17"/>
    </row>
    <row r="55" spans="1:8">
      <c r="A55" s="5">
        <v>163</v>
      </c>
      <c r="B55" s="15">
        <v>45379</v>
      </c>
      <c r="C55" s="5">
        <v>443480</v>
      </c>
      <c r="D55" s="5" t="s">
        <v>100</v>
      </c>
      <c r="E55" s="5">
        <v>11</v>
      </c>
      <c r="F55" s="32" t="s">
        <v>187</v>
      </c>
      <c r="H55" s="17"/>
    </row>
    <row r="56" spans="1:8">
      <c r="A56" s="5">
        <v>152</v>
      </c>
      <c r="B56" s="15">
        <v>45314</v>
      </c>
      <c r="C56" s="5">
        <v>171444</v>
      </c>
      <c r="D56" s="5" t="s">
        <v>94</v>
      </c>
      <c r="E56" s="5">
        <v>21</v>
      </c>
      <c r="F56" s="32" t="s">
        <v>188</v>
      </c>
      <c r="H56" s="17"/>
    </row>
    <row r="57" spans="1:8">
      <c r="A57" s="5">
        <v>195</v>
      </c>
      <c r="B57" s="15">
        <v>45377</v>
      </c>
      <c r="C57" s="5">
        <v>466126</v>
      </c>
      <c r="D57" s="5" t="s">
        <v>94</v>
      </c>
      <c r="E57" s="5">
        <v>16</v>
      </c>
      <c r="F57" s="32" t="s">
        <v>189</v>
      </c>
      <c r="H57" s="17"/>
    </row>
    <row r="58" spans="1:8">
      <c r="A58" s="5">
        <v>157</v>
      </c>
      <c r="B58" s="15">
        <v>45331</v>
      </c>
      <c r="C58" s="5">
        <v>688897</v>
      </c>
      <c r="D58" s="5" t="s">
        <v>98</v>
      </c>
      <c r="E58" s="5">
        <v>16</v>
      </c>
      <c r="F58" s="32" t="s">
        <v>190</v>
      </c>
      <c r="H58" s="17"/>
    </row>
    <row r="59" spans="1:8">
      <c r="A59" s="5">
        <v>127</v>
      </c>
      <c r="B59" s="15">
        <v>45323</v>
      </c>
      <c r="C59" s="5">
        <v>171444</v>
      </c>
      <c r="D59" s="5" t="s">
        <v>96</v>
      </c>
      <c r="E59" s="5">
        <v>19</v>
      </c>
      <c r="F59" s="32" t="s">
        <v>191</v>
      </c>
      <c r="H59" s="17"/>
    </row>
    <row r="60" spans="1:8">
      <c r="A60" s="5">
        <v>108</v>
      </c>
      <c r="B60" s="15">
        <v>45350</v>
      </c>
      <c r="C60" s="5">
        <v>466126</v>
      </c>
      <c r="D60" s="5" t="s">
        <v>91</v>
      </c>
      <c r="E60" s="5">
        <v>40</v>
      </c>
      <c r="F60" s="32" t="s">
        <v>192</v>
      </c>
      <c r="H60" s="17"/>
    </row>
    <row r="61" spans="1:8">
      <c r="A61" s="5">
        <v>127</v>
      </c>
      <c r="B61" s="15">
        <v>45358</v>
      </c>
      <c r="C61" s="5">
        <v>171444</v>
      </c>
      <c r="D61" s="5" t="s">
        <v>86</v>
      </c>
      <c r="E61" s="5">
        <v>20</v>
      </c>
      <c r="F61" s="32" t="s">
        <v>193</v>
      </c>
      <c r="H61" s="17"/>
    </row>
    <row r="62" spans="1:8">
      <c r="A62" s="5">
        <v>152</v>
      </c>
      <c r="B62" s="15">
        <v>45327</v>
      </c>
      <c r="C62" s="5">
        <v>171444</v>
      </c>
      <c r="D62" s="5" t="s">
        <v>84</v>
      </c>
      <c r="E62" s="5">
        <v>47</v>
      </c>
      <c r="F62" s="32" t="s">
        <v>194</v>
      </c>
      <c r="H62" s="17"/>
    </row>
    <row r="63" spans="1:8">
      <c r="A63" s="5">
        <v>163</v>
      </c>
      <c r="B63" s="15">
        <v>45304</v>
      </c>
      <c r="C63" s="5">
        <v>443480</v>
      </c>
      <c r="D63" s="5" t="s">
        <v>91</v>
      </c>
      <c r="E63" s="5">
        <v>10</v>
      </c>
      <c r="F63" s="32" t="s">
        <v>195</v>
      </c>
      <c r="H63" s="17"/>
    </row>
    <row r="64" spans="1:8">
      <c r="A64" s="5">
        <v>108</v>
      </c>
      <c r="B64" s="15">
        <v>45378</v>
      </c>
      <c r="C64" s="5">
        <v>466126</v>
      </c>
      <c r="D64" s="5" t="s">
        <v>78</v>
      </c>
      <c r="E64" s="5">
        <v>35</v>
      </c>
      <c r="F64" s="32" t="s">
        <v>196</v>
      </c>
      <c r="H64" s="17"/>
    </row>
    <row r="65" spans="1:8">
      <c r="A65" s="5">
        <v>152</v>
      </c>
      <c r="B65" s="15">
        <v>45335</v>
      </c>
      <c r="C65" s="5">
        <v>171444</v>
      </c>
      <c r="D65" s="5" t="s">
        <v>75</v>
      </c>
      <c r="E65" s="5">
        <v>49</v>
      </c>
      <c r="F65" s="32" t="s">
        <v>197</v>
      </c>
      <c r="H65" s="17"/>
    </row>
    <row r="66" spans="1:8">
      <c r="A66" s="5">
        <v>127</v>
      </c>
      <c r="B66" s="15">
        <v>45362</v>
      </c>
      <c r="C66" s="5">
        <v>171444</v>
      </c>
      <c r="D66" s="5" t="s">
        <v>82</v>
      </c>
      <c r="E66" s="5">
        <v>14</v>
      </c>
      <c r="F66" s="32" t="s">
        <v>198</v>
      </c>
      <c r="H66" s="17"/>
    </row>
    <row r="67" spans="1:8">
      <c r="A67" s="5">
        <v>163</v>
      </c>
      <c r="B67" s="15">
        <v>45374</v>
      </c>
      <c r="C67" s="5">
        <v>443480</v>
      </c>
      <c r="D67" s="5" t="s">
        <v>82</v>
      </c>
      <c r="E67" s="5">
        <v>21</v>
      </c>
      <c r="F67" s="32" t="s">
        <v>199</v>
      </c>
      <c r="H67" s="17"/>
    </row>
    <row r="68" spans="1:8">
      <c r="A68" s="5">
        <v>195</v>
      </c>
      <c r="B68" s="15">
        <v>45335</v>
      </c>
      <c r="C68" s="5">
        <v>466126</v>
      </c>
      <c r="D68" s="5" t="s">
        <v>75</v>
      </c>
      <c r="E68" s="5">
        <v>13</v>
      </c>
      <c r="F68" s="32" t="s">
        <v>200</v>
      </c>
      <c r="H68" s="17"/>
    </row>
    <row r="69" spans="1:8">
      <c r="A69" s="5">
        <v>153</v>
      </c>
      <c r="B69" s="15">
        <v>45358</v>
      </c>
      <c r="C69" s="5">
        <v>688897</v>
      </c>
      <c r="D69" s="5" t="s">
        <v>72</v>
      </c>
      <c r="E69" s="5">
        <v>10</v>
      </c>
      <c r="F69" s="32" t="s">
        <v>201</v>
      </c>
      <c r="H69" s="17"/>
    </row>
    <row r="70" spans="1:8">
      <c r="A70" s="5">
        <v>163</v>
      </c>
      <c r="B70" s="15">
        <v>45353</v>
      </c>
      <c r="C70" s="5">
        <v>443480</v>
      </c>
      <c r="D70" s="5" t="s">
        <v>86</v>
      </c>
      <c r="E70" s="5">
        <v>14</v>
      </c>
      <c r="F70" s="32" t="s">
        <v>202</v>
      </c>
      <c r="H70" s="17"/>
    </row>
    <row r="71" spans="1:8">
      <c r="A71" s="5">
        <v>127</v>
      </c>
      <c r="B71" s="15">
        <v>45366</v>
      </c>
      <c r="C71" s="5">
        <v>171444</v>
      </c>
      <c r="D71" s="5" t="s">
        <v>78</v>
      </c>
      <c r="E71" s="5">
        <v>1</v>
      </c>
      <c r="F71" s="32" t="s">
        <v>203</v>
      </c>
      <c r="H71" s="17"/>
    </row>
    <row r="72" spans="1:8">
      <c r="A72" s="5">
        <v>179</v>
      </c>
      <c r="B72" s="15">
        <v>45369</v>
      </c>
      <c r="C72" s="5">
        <v>243994</v>
      </c>
      <c r="D72" s="5" t="s">
        <v>80</v>
      </c>
      <c r="E72" s="5">
        <v>35</v>
      </c>
      <c r="F72" s="32" t="s">
        <v>204</v>
      </c>
      <c r="H72" s="17"/>
    </row>
    <row r="73" spans="1:8">
      <c r="A73" s="5">
        <v>108</v>
      </c>
      <c r="B73" s="15">
        <v>45313</v>
      </c>
      <c r="C73" s="5">
        <v>466126</v>
      </c>
      <c r="D73" s="5" t="s">
        <v>82</v>
      </c>
      <c r="E73" s="5">
        <v>7</v>
      </c>
      <c r="F73" s="32" t="s">
        <v>205</v>
      </c>
      <c r="H73" s="17"/>
    </row>
    <row r="74" spans="1:8">
      <c r="A74" s="5">
        <v>157</v>
      </c>
      <c r="B74" s="15">
        <v>45293</v>
      </c>
      <c r="C74" s="5">
        <v>688897</v>
      </c>
      <c r="D74" s="5" t="s">
        <v>75</v>
      </c>
      <c r="E74" s="5">
        <v>29</v>
      </c>
      <c r="F74" s="32" t="s">
        <v>206</v>
      </c>
      <c r="H74" s="17"/>
    </row>
    <row r="75" spans="1:8">
      <c r="A75" s="5">
        <v>151</v>
      </c>
      <c r="B75" s="15">
        <v>45324</v>
      </c>
      <c r="C75" s="5">
        <v>443480</v>
      </c>
      <c r="D75" s="5" t="s">
        <v>103</v>
      </c>
      <c r="E75" s="5">
        <v>46</v>
      </c>
      <c r="F75" s="32" t="s">
        <v>207</v>
      </c>
      <c r="H75" s="17"/>
    </row>
    <row r="76" spans="1:8">
      <c r="A76" s="5">
        <v>157</v>
      </c>
      <c r="B76" s="15">
        <v>45306</v>
      </c>
      <c r="C76" s="5">
        <v>688897</v>
      </c>
      <c r="D76" s="5" t="s">
        <v>84</v>
      </c>
      <c r="E76" s="5">
        <v>28</v>
      </c>
      <c r="F76" s="32" t="s">
        <v>208</v>
      </c>
      <c r="H76" s="17"/>
    </row>
    <row r="77" spans="1:8">
      <c r="A77" s="5">
        <v>186</v>
      </c>
      <c r="B77" s="15">
        <v>45316</v>
      </c>
      <c r="C77" s="5">
        <v>243994</v>
      </c>
      <c r="D77" s="5" t="s">
        <v>86</v>
      </c>
      <c r="E77" s="5">
        <v>35</v>
      </c>
      <c r="F77" s="32" t="s">
        <v>209</v>
      </c>
      <c r="H77" s="17"/>
    </row>
    <row r="78" spans="1:8">
      <c r="A78" s="5">
        <v>186</v>
      </c>
      <c r="B78" s="15">
        <v>45373</v>
      </c>
      <c r="C78" s="5">
        <v>466126</v>
      </c>
      <c r="D78" s="5" t="s">
        <v>100</v>
      </c>
      <c r="E78" s="5">
        <v>31</v>
      </c>
      <c r="F78" s="32" t="s">
        <v>210</v>
      </c>
      <c r="H78" s="17"/>
    </row>
    <row r="79" spans="1:8">
      <c r="A79" s="5">
        <v>152</v>
      </c>
      <c r="B79" s="15">
        <v>45375</v>
      </c>
      <c r="C79" s="5">
        <v>171444</v>
      </c>
      <c r="D79" s="5" t="s">
        <v>94</v>
      </c>
      <c r="E79" s="5">
        <v>24</v>
      </c>
      <c r="F79" s="32" t="s">
        <v>211</v>
      </c>
      <c r="H79" s="17"/>
    </row>
    <row r="80" spans="1:8">
      <c r="A80" s="5">
        <v>195</v>
      </c>
      <c r="B80" s="15">
        <v>45292</v>
      </c>
      <c r="C80" s="5">
        <v>466126</v>
      </c>
      <c r="D80" s="5" t="s">
        <v>103</v>
      </c>
      <c r="E80" s="5">
        <v>45</v>
      </c>
      <c r="F80" s="32" t="s">
        <v>212</v>
      </c>
      <c r="H80" s="17"/>
    </row>
    <row r="81" spans="1:8">
      <c r="A81" s="5">
        <v>195</v>
      </c>
      <c r="B81" s="15">
        <v>45330</v>
      </c>
      <c r="C81" s="5">
        <v>466126</v>
      </c>
      <c r="D81" s="5" t="s">
        <v>103</v>
      </c>
      <c r="E81" s="5">
        <v>46</v>
      </c>
      <c r="F81" s="32" t="s">
        <v>213</v>
      </c>
      <c r="H81" s="17"/>
    </row>
    <row r="82" spans="1:8">
      <c r="A82" s="5">
        <v>186</v>
      </c>
      <c r="B82" s="15">
        <v>45332</v>
      </c>
      <c r="C82" s="5">
        <v>243994</v>
      </c>
      <c r="D82" s="5" t="s">
        <v>72</v>
      </c>
      <c r="E82" s="5">
        <v>12</v>
      </c>
      <c r="F82" s="32" t="s">
        <v>214</v>
      </c>
      <c r="H82" s="17"/>
    </row>
    <row r="83" spans="1:8">
      <c r="A83" s="5">
        <v>108</v>
      </c>
      <c r="B83" s="15">
        <v>45342</v>
      </c>
      <c r="C83" s="5">
        <v>466126</v>
      </c>
      <c r="D83" s="5" t="s">
        <v>78</v>
      </c>
      <c r="E83" s="5">
        <v>9</v>
      </c>
      <c r="F83" s="32" t="s">
        <v>215</v>
      </c>
      <c r="H83" s="17"/>
    </row>
    <row r="84" spans="1:8">
      <c r="A84" s="5">
        <v>157</v>
      </c>
      <c r="B84" s="15">
        <v>45329</v>
      </c>
      <c r="C84" s="5">
        <v>688897</v>
      </c>
      <c r="D84" s="5" t="s">
        <v>103</v>
      </c>
      <c r="E84" s="5">
        <v>39</v>
      </c>
      <c r="F84" s="32" t="s">
        <v>216</v>
      </c>
      <c r="H84" s="17"/>
    </row>
    <row r="85" spans="1:8">
      <c r="A85" s="5">
        <v>151</v>
      </c>
      <c r="B85" s="15">
        <v>45356</v>
      </c>
      <c r="C85" s="5">
        <v>443480</v>
      </c>
      <c r="D85" s="5" t="s">
        <v>89</v>
      </c>
      <c r="E85" s="5">
        <v>47</v>
      </c>
      <c r="F85" s="32" t="s">
        <v>217</v>
      </c>
      <c r="H85" s="17"/>
    </row>
    <row r="86" spans="1:8">
      <c r="A86" s="5">
        <v>186</v>
      </c>
      <c r="B86" s="15">
        <v>45313</v>
      </c>
      <c r="C86" s="5">
        <v>243994</v>
      </c>
      <c r="D86" s="5" t="s">
        <v>82</v>
      </c>
      <c r="E86" s="5">
        <v>28</v>
      </c>
      <c r="F86" s="32" t="s">
        <v>218</v>
      </c>
      <c r="H86" s="17"/>
    </row>
    <row r="87" spans="1:8">
      <c r="A87" s="5">
        <v>151</v>
      </c>
      <c r="B87" s="15">
        <v>45294</v>
      </c>
      <c r="C87" s="5">
        <v>443480</v>
      </c>
      <c r="D87" s="5" t="s">
        <v>75</v>
      </c>
      <c r="E87" s="5">
        <v>9</v>
      </c>
      <c r="F87" s="32" t="s">
        <v>219</v>
      </c>
      <c r="H87" s="17"/>
    </row>
    <row r="88" spans="1:8">
      <c r="A88" s="5">
        <v>127</v>
      </c>
      <c r="B88" s="15">
        <v>45379</v>
      </c>
      <c r="C88" s="5">
        <v>466126</v>
      </c>
      <c r="D88" s="5" t="s">
        <v>86</v>
      </c>
      <c r="E88" s="5">
        <v>22</v>
      </c>
      <c r="F88" s="32" t="s">
        <v>220</v>
      </c>
      <c r="H88" s="17"/>
    </row>
    <row r="89" spans="1:8">
      <c r="A89" s="5">
        <v>179</v>
      </c>
      <c r="B89" s="15">
        <v>45295</v>
      </c>
      <c r="C89" s="5">
        <v>243994</v>
      </c>
      <c r="D89" s="5" t="s">
        <v>75</v>
      </c>
      <c r="E89" s="5">
        <v>14</v>
      </c>
      <c r="F89" s="32" t="s">
        <v>221</v>
      </c>
      <c r="H89" s="17"/>
    </row>
    <row r="90" spans="1:8">
      <c r="A90" s="5">
        <v>163</v>
      </c>
      <c r="B90" s="15">
        <v>45306</v>
      </c>
      <c r="C90" s="5">
        <v>443480</v>
      </c>
      <c r="D90" s="5" t="s">
        <v>82</v>
      </c>
      <c r="E90" s="5">
        <v>47</v>
      </c>
      <c r="F90" s="32" t="s">
        <v>222</v>
      </c>
      <c r="H90" s="17"/>
    </row>
    <row r="91" spans="1:8">
      <c r="A91" s="5">
        <v>153</v>
      </c>
      <c r="B91" s="15">
        <v>45365</v>
      </c>
      <c r="C91" s="5">
        <v>688897</v>
      </c>
      <c r="D91" s="5" t="s">
        <v>78</v>
      </c>
      <c r="E91" s="5">
        <v>49</v>
      </c>
      <c r="F91" s="32" t="s">
        <v>223</v>
      </c>
      <c r="H91" s="17"/>
    </row>
    <row r="92" spans="1:8">
      <c r="A92" s="5">
        <v>186</v>
      </c>
      <c r="B92" s="15">
        <v>45342</v>
      </c>
      <c r="C92" s="5">
        <v>243994</v>
      </c>
      <c r="D92" s="5" t="s">
        <v>96</v>
      </c>
      <c r="E92" s="5">
        <v>39</v>
      </c>
      <c r="F92" s="32" t="s">
        <v>224</v>
      </c>
      <c r="H92" s="17"/>
    </row>
    <row r="93" spans="1:8">
      <c r="A93" s="5">
        <v>108</v>
      </c>
      <c r="B93" s="15">
        <v>45332</v>
      </c>
      <c r="C93" s="5">
        <v>466126</v>
      </c>
      <c r="D93" s="5" t="s">
        <v>72</v>
      </c>
      <c r="E93" s="5">
        <v>41</v>
      </c>
      <c r="F93" s="32" t="s">
        <v>225</v>
      </c>
      <c r="H93" s="17"/>
    </row>
    <row r="94" spans="1:8">
      <c r="A94" s="5">
        <v>186</v>
      </c>
      <c r="B94" s="15">
        <v>45324</v>
      </c>
      <c r="C94" s="5">
        <v>243994</v>
      </c>
      <c r="D94" s="5" t="s">
        <v>78</v>
      </c>
      <c r="E94" s="5">
        <v>50</v>
      </c>
      <c r="F94" s="32" t="s">
        <v>226</v>
      </c>
      <c r="H94" s="17"/>
    </row>
    <row r="95" spans="1:8">
      <c r="A95" s="5">
        <v>179</v>
      </c>
      <c r="B95" s="15">
        <v>45311</v>
      </c>
      <c r="C95" s="5">
        <v>243994</v>
      </c>
      <c r="D95" s="5" t="s">
        <v>80</v>
      </c>
      <c r="E95" s="5">
        <v>33</v>
      </c>
      <c r="F95" s="32" t="s">
        <v>227</v>
      </c>
      <c r="H95" s="17"/>
    </row>
    <row r="96" spans="1:8">
      <c r="A96" s="5">
        <v>186</v>
      </c>
      <c r="B96" s="15">
        <v>45346</v>
      </c>
      <c r="C96" s="5">
        <v>243994</v>
      </c>
      <c r="D96" s="5" t="s">
        <v>100</v>
      </c>
      <c r="E96" s="5">
        <v>46</v>
      </c>
      <c r="F96" s="32" t="s">
        <v>228</v>
      </c>
      <c r="H96" s="17"/>
    </row>
    <row r="97" spans="1:8">
      <c r="A97" s="5">
        <v>152</v>
      </c>
      <c r="B97" s="15">
        <v>45326</v>
      </c>
      <c r="C97" s="5">
        <v>171444</v>
      </c>
      <c r="D97" s="5" t="s">
        <v>80</v>
      </c>
      <c r="E97" s="5">
        <v>24</v>
      </c>
      <c r="F97" s="32" t="s">
        <v>229</v>
      </c>
      <c r="H97" s="17"/>
    </row>
    <row r="98" spans="1:8">
      <c r="A98" s="5">
        <v>195</v>
      </c>
      <c r="B98" s="15">
        <v>45298</v>
      </c>
      <c r="C98" s="5">
        <v>466126</v>
      </c>
      <c r="D98" s="5" t="s">
        <v>84</v>
      </c>
      <c r="E98" s="5">
        <v>17</v>
      </c>
      <c r="F98" s="32" t="s">
        <v>230</v>
      </c>
      <c r="H98" s="17"/>
    </row>
    <row r="99" spans="1:8">
      <c r="A99" s="5">
        <v>157</v>
      </c>
      <c r="B99" s="15">
        <v>45323</v>
      </c>
      <c r="C99" s="5">
        <v>688897</v>
      </c>
      <c r="D99" s="5" t="s">
        <v>80</v>
      </c>
      <c r="E99" s="5">
        <v>30</v>
      </c>
      <c r="F99" s="32" t="s">
        <v>231</v>
      </c>
      <c r="H99" s="17"/>
    </row>
    <row r="100" spans="1:8">
      <c r="A100" s="5">
        <v>151</v>
      </c>
      <c r="B100" s="15">
        <v>45299</v>
      </c>
      <c r="C100" s="5">
        <v>443480</v>
      </c>
      <c r="D100" s="5" t="s">
        <v>84</v>
      </c>
      <c r="E100" s="5">
        <v>23</v>
      </c>
      <c r="F100" s="32" t="s">
        <v>232</v>
      </c>
      <c r="H100" s="17"/>
    </row>
    <row r="101" spans="1:8">
      <c r="A101" s="5">
        <v>153</v>
      </c>
      <c r="B101" s="15">
        <v>45299</v>
      </c>
      <c r="C101" s="5">
        <v>688897</v>
      </c>
      <c r="D101" s="5" t="s">
        <v>82</v>
      </c>
      <c r="E101" s="5">
        <v>31</v>
      </c>
      <c r="F101" s="32" t="s">
        <v>233</v>
      </c>
      <c r="H101" s="17"/>
    </row>
    <row r="102" spans="1:8">
      <c r="A102" s="5">
        <v>152</v>
      </c>
      <c r="B102" s="15">
        <v>45336</v>
      </c>
      <c r="C102" s="5">
        <v>171444</v>
      </c>
      <c r="D102" s="5" t="s">
        <v>75</v>
      </c>
      <c r="E102" s="5">
        <v>48</v>
      </c>
      <c r="F102" s="32" t="s">
        <v>234</v>
      </c>
      <c r="H102" s="17"/>
    </row>
    <row r="103" spans="1:8">
      <c r="A103" s="5">
        <v>152</v>
      </c>
      <c r="B103" s="15">
        <v>45322</v>
      </c>
      <c r="C103" s="5">
        <v>171444</v>
      </c>
      <c r="D103" s="5" t="s">
        <v>80</v>
      </c>
      <c r="E103" s="5">
        <v>24</v>
      </c>
      <c r="F103" s="32" t="s">
        <v>235</v>
      </c>
      <c r="H103" s="17"/>
    </row>
    <row r="104" spans="1:8">
      <c r="A104" s="5">
        <v>153</v>
      </c>
      <c r="B104" s="15">
        <v>45352</v>
      </c>
      <c r="C104" s="5">
        <v>688897</v>
      </c>
      <c r="D104" s="5" t="s">
        <v>86</v>
      </c>
      <c r="E104" s="5">
        <v>17</v>
      </c>
      <c r="F104" s="32" t="s">
        <v>236</v>
      </c>
      <c r="H104" s="17"/>
    </row>
    <row r="105" spans="1:8">
      <c r="A105" s="5">
        <v>152</v>
      </c>
      <c r="B105" s="15">
        <v>45324</v>
      </c>
      <c r="C105" s="5">
        <v>171444</v>
      </c>
      <c r="D105" s="5" t="s">
        <v>103</v>
      </c>
      <c r="E105" s="5">
        <v>2</v>
      </c>
      <c r="F105" s="32" t="s">
        <v>237</v>
      </c>
      <c r="H105" s="17"/>
    </row>
    <row r="106" spans="1:8">
      <c r="A106" s="5">
        <v>127</v>
      </c>
      <c r="B106" s="15">
        <v>45359</v>
      </c>
      <c r="C106" s="5">
        <v>171444</v>
      </c>
      <c r="D106" s="5" t="s">
        <v>78</v>
      </c>
      <c r="E106" s="5">
        <v>24</v>
      </c>
      <c r="F106" s="32" t="s">
        <v>238</v>
      </c>
      <c r="H106" s="17"/>
    </row>
    <row r="107" spans="1:8">
      <c r="A107" s="5">
        <v>127</v>
      </c>
      <c r="B107" s="15">
        <v>45367</v>
      </c>
      <c r="C107" s="5">
        <v>171444</v>
      </c>
      <c r="D107" s="5" t="s">
        <v>72</v>
      </c>
      <c r="E107" s="5">
        <v>22</v>
      </c>
      <c r="F107" s="32" t="s">
        <v>239</v>
      </c>
      <c r="H107" s="17"/>
    </row>
    <row r="108" spans="1:8">
      <c r="A108" s="5">
        <v>186</v>
      </c>
      <c r="B108" s="15">
        <v>45361</v>
      </c>
      <c r="C108" s="5">
        <v>243994</v>
      </c>
      <c r="D108" s="5" t="s">
        <v>100</v>
      </c>
      <c r="E108" s="5">
        <v>20</v>
      </c>
      <c r="F108" s="32" t="s">
        <v>240</v>
      </c>
      <c r="H108" s="17"/>
    </row>
    <row r="109" spans="1:8">
      <c r="A109" s="5">
        <v>151</v>
      </c>
      <c r="B109" s="15">
        <v>45299</v>
      </c>
      <c r="C109" s="5">
        <v>443480</v>
      </c>
      <c r="D109" s="5" t="s">
        <v>75</v>
      </c>
      <c r="E109" s="5">
        <v>32</v>
      </c>
      <c r="F109" s="32" t="s">
        <v>241</v>
      </c>
      <c r="H109" s="17"/>
    </row>
    <row r="110" spans="1:8">
      <c r="A110" s="5">
        <v>152</v>
      </c>
      <c r="B110" s="15">
        <v>45335</v>
      </c>
      <c r="C110" s="5">
        <v>171444</v>
      </c>
      <c r="D110" s="5" t="s">
        <v>103</v>
      </c>
      <c r="E110" s="5">
        <v>35</v>
      </c>
      <c r="F110" s="32" t="s">
        <v>242</v>
      </c>
      <c r="H110" s="17"/>
    </row>
    <row r="111" spans="1:8">
      <c r="A111" s="5">
        <v>195</v>
      </c>
      <c r="B111" s="15">
        <v>45379</v>
      </c>
      <c r="C111" s="5">
        <v>466126</v>
      </c>
      <c r="D111" s="5" t="s">
        <v>75</v>
      </c>
      <c r="E111" s="5">
        <v>21</v>
      </c>
      <c r="F111" s="32" t="s">
        <v>243</v>
      </c>
      <c r="H111" s="17"/>
    </row>
    <row r="112" spans="1:8">
      <c r="A112" s="5">
        <v>151</v>
      </c>
      <c r="B112" s="15">
        <v>45367</v>
      </c>
      <c r="C112" s="5">
        <v>443480</v>
      </c>
      <c r="D112" s="5" t="s">
        <v>98</v>
      </c>
      <c r="E112" s="5">
        <v>8</v>
      </c>
      <c r="F112" s="32" t="s">
        <v>244</v>
      </c>
      <c r="H112" s="17"/>
    </row>
    <row r="113" spans="1:8">
      <c r="A113" s="5">
        <v>153</v>
      </c>
      <c r="B113" s="15">
        <v>45332</v>
      </c>
      <c r="C113" s="5">
        <v>688897</v>
      </c>
      <c r="D113" s="5" t="s">
        <v>100</v>
      </c>
      <c r="E113" s="5">
        <v>49</v>
      </c>
      <c r="F113" s="32" t="s">
        <v>245</v>
      </c>
      <c r="H113" s="17"/>
    </row>
    <row r="114" spans="1:8">
      <c r="A114" s="5">
        <v>179</v>
      </c>
      <c r="B114" s="15">
        <v>45353</v>
      </c>
      <c r="C114" s="5">
        <v>243994</v>
      </c>
      <c r="D114" s="5" t="s">
        <v>84</v>
      </c>
      <c r="E114" s="5">
        <v>41</v>
      </c>
      <c r="F114" s="32" t="s">
        <v>246</v>
      </c>
      <c r="H114" s="17"/>
    </row>
    <row r="115" spans="1:8">
      <c r="A115" s="5">
        <v>127</v>
      </c>
      <c r="B115" s="15">
        <v>45330</v>
      </c>
      <c r="C115" s="5">
        <v>171444</v>
      </c>
      <c r="D115" s="5" t="s">
        <v>78</v>
      </c>
      <c r="E115" s="5">
        <v>46</v>
      </c>
      <c r="F115" s="32" t="s">
        <v>247</v>
      </c>
      <c r="H115" s="17"/>
    </row>
    <row r="116" spans="1:8">
      <c r="A116" s="5">
        <v>108</v>
      </c>
      <c r="B116" s="15">
        <v>45354</v>
      </c>
      <c r="C116" s="5">
        <v>466126</v>
      </c>
      <c r="D116" s="5" t="s">
        <v>72</v>
      </c>
      <c r="E116" s="5">
        <v>49</v>
      </c>
      <c r="F116" s="32" t="s">
        <v>248</v>
      </c>
      <c r="H116" s="17"/>
    </row>
    <row r="117" spans="1:8">
      <c r="A117" s="5">
        <v>152</v>
      </c>
      <c r="B117" s="15">
        <v>45300</v>
      </c>
      <c r="C117" s="5">
        <v>171444</v>
      </c>
      <c r="D117" s="5" t="s">
        <v>94</v>
      </c>
      <c r="E117" s="5">
        <v>22</v>
      </c>
      <c r="F117" s="32" t="s">
        <v>249</v>
      </c>
      <c r="H117" s="17"/>
    </row>
    <row r="118" spans="1:8">
      <c r="A118" s="5">
        <v>108</v>
      </c>
      <c r="B118" s="15">
        <v>45324</v>
      </c>
      <c r="C118" s="5">
        <v>466126</v>
      </c>
      <c r="D118" s="5" t="s">
        <v>86</v>
      </c>
      <c r="E118" s="5">
        <v>7</v>
      </c>
      <c r="F118" s="32" t="s">
        <v>250</v>
      </c>
      <c r="H118" s="17"/>
    </row>
    <row r="119" spans="1:8">
      <c r="A119" s="5">
        <v>151</v>
      </c>
      <c r="B119" s="15">
        <v>45338</v>
      </c>
      <c r="C119" s="5">
        <v>443480</v>
      </c>
      <c r="D119" s="5" t="s">
        <v>103</v>
      </c>
      <c r="E119" s="5">
        <v>22</v>
      </c>
      <c r="F119" s="32" t="s">
        <v>251</v>
      </c>
      <c r="H119" s="17"/>
    </row>
    <row r="120" spans="1:8">
      <c r="A120" s="5">
        <v>163</v>
      </c>
      <c r="B120" s="15">
        <v>45374</v>
      </c>
      <c r="C120" s="5">
        <v>443480</v>
      </c>
      <c r="D120" s="5" t="s">
        <v>100</v>
      </c>
      <c r="E120" s="5">
        <v>4</v>
      </c>
      <c r="F120" s="32" t="s">
        <v>252</v>
      </c>
      <c r="H120" s="17"/>
    </row>
    <row r="121" spans="1:8">
      <c r="A121" s="5">
        <v>152</v>
      </c>
      <c r="B121" s="15">
        <v>45328</v>
      </c>
      <c r="C121" s="5">
        <v>171444</v>
      </c>
      <c r="D121" s="5" t="s">
        <v>89</v>
      </c>
      <c r="E121" s="5">
        <v>34</v>
      </c>
      <c r="F121" s="32" t="s">
        <v>253</v>
      </c>
      <c r="H121" s="17"/>
    </row>
    <row r="122" spans="1:8">
      <c r="A122" s="5">
        <v>179</v>
      </c>
      <c r="B122" s="15">
        <v>45353</v>
      </c>
      <c r="C122" s="5">
        <v>243994</v>
      </c>
      <c r="D122" s="5" t="s">
        <v>103</v>
      </c>
      <c r="E122" s="5">
        <v>16</v>
      </c>
      <c r="F122" s="32" t="s">
        <v>254</v>
      </c>
      <c r="H122" s="17"/>
    </row>
    <row r="123" spans="1:8">
      <c r="A123" s="5">
        <v>195</v>
      </c>
      <c r="B123" s="15">
        <v>45352</v>
      </c>
      <c r="C123" s="5">
        <v>466126</v>
      </c>
      <c r="D123" s="5" t="s">
        <v>89</v>
      </c>
      <c r="E123" s="5">
        <v>22</v>
      </c>
      <c r="F123" s="32" t="s">
        <v>255</v>
      </c>
      <c r="H123" s="17"/>
    </row>
    <row r="124" spans="1:8">
      <c r="A124" s="5">
        <v>152</v>
      </c>
      <c r="B124" s="15">
        <v>45334</v>
      </c>
      <c r="C124" s="5">
        <v>171444</v>
      </c>
      <c r="D124" s="5" t="s">
        <v>94</v>
      </c>
      <c r="E124" s="5">
        <v>37</v>
      </c>
      <c r="F124" s="32" t="s">
        <v>256</v>
      </c>
      <c r="H124" s="17"/>
    </row>
    <row r="125" spans="1:8">
      <c r="A125" s="5">
        <v>195</v>
      </c>
      <c r="B125" s="15">
        <v>45321</v>
      </c>
      <c r="C125" s="5">
        <v>688897</v>
      </c>
      <c r="D125" s="5" t="s">
        <v>89</v>
      </c>
      <c r="E125" s="5">
        <v>26</v>
      </c>
      <c r="F125" s="32" t="s">
        <v>257</v>
      </c>
      <c r="H125" s="17"/>
    </row>
    <row r="126" spans="1:8">
      <c r="A126" s="5">
        <v>163</v>
      </c>
      <c r="B126" s="15">
        <v>45360</v>
      </c>
      <c r="C126" s="5">
        <v>443480</v>
      </c>
      <c r="D126" s="5" t="s">
        <v>72</v>
      </c>
      <c r="E126" s="5">
        <v>45</v>
      </c>
      <c r="F126" s="32" t="s">
        <v>258</v>
      </c>
      <c r="H126" s="17"/>
    </row>
    <row r="127" spans="1:8">
      <c r="A127" s="5">
        <v>152</v>
      </c>
      <c r="B127" s="15">
        <v>45340</v>
      </c>
      <c r="C127" s="5">
        <v>171444</v>
      </c>
      <c r="D127" s="5" t="s">
        <v>98</v>
      </c>
      <c r="E127" s="5">
        <v>42</v>
      </c>
      <c r="F127" s="32" t="s">
        <v>259</v>
      </c>
      <c r="H127" s="17"/>
    </row>
    <row r="128" spans="1:8">
      <c r="A128" s="5">
        <v>127</v>
      </c>
      <c r="B128" s="15">
        <v>45332</v>
      </c>
      <c r="C128" s="5">
        <v>171444</v>
      </c>
      <c r="D128" s="5" t="s">
        <v>72</v>
      </c>
      <c r="E128" s="5">
        <v>38</v>
      </c>
      <c r="F128" s="32" t="s">
        <v>260</v>
      </c>
      <c r="H128" s="17"/>
    </row>
    <row r="129" spans="1:8">
      <c r="A129" s="5">
        <v>186</v>
      </c>
      <c r="B129" s="15">
        <v>45334</v>
      </c>
      <c r="C129" s="5">
        <v>243994</v>
      </c>
      <c r="D129" s="5" t="s">
        <v>82</v>
      </c>
      <c r="E129" s="5">
        <v>7</v>
      </c>
      <c r="F129" s="32" t="s">
        <v>261</v>
      </c>
      <c r="H129" s="17"/>
    </row>
    <row r="130" spans="1:8">
      <c r="A130" s="5">
        <v>152</v>
      </c>
      <c r="B130" s="15">
        <v>45373</v>
      </c>
      <c r="C130" s="5">
        <v>171444</v>
      </c>
      <c r="D130" s="5" t="s">
        <v>75</v>
      </c>
      <c r="E130" s="5">
        <v>32</v>
      </c>
      <c r="F130" s="32" t="s">
        <v>262</v>
      </c>
      <c r="H130" s="17"/>
    </row>
    <row r="131" spans="1:8">
      <c r="A131" s="5">
        <v>157</v>
      </c>
      <c r="B131" s="15">
        <v>45305</v>
      </c>
      <c r="C131" s="5">
        <v>688897</v>
      </c>
      <c r="D131" s="5" t="s">
        <v>94</v>
      </c>
      <c r="E131" s="5">
        <v>8</v>
      </c>
      <c r="F131" s="32" t="s">
        <v>263</v>
      </c>
      <c r="H131" s="17"/>
    </row>
    <row r="132" spans="1:8">
      <c r="A132" s="5">
        <v>108</v>
      </c>
      <c r="B132" s="15">
        <v>45318</v>
      </c>
      <c r="C132" s="5">
        <v>466126</v>
      </c>
      <c r="D132" s="5" t="s">
        <v>91</v>
      </c>
      <c r="E132" s="5">
        <v>12</v>
      </c>
      <c r="F132" s="32" t="s">
        <v>264</v>
      </c>
      <c r="H132" s="17"/>
    </row>
    <row r="133" spans="1:8">
      <c r="A133" s="5">
        <v>153</v>
      </c>
      <c r="B133" s="15">
        <v>45308</v>
      </c>
      <c r="C133" s="5">
        <v>243994</v>
      </c>
      <c r="D133" s="5" t="s">
        <v>96</v>
      </c>
      <c r="E133" s="5">
        <v>7</v>
      </c>
      <c r="F133" s="32" t="s">
        <v>265</v>
      </c>
      <c r="H133" s="17"/>
    </row>
    <row r="134" spans="1:8">
      <c r="A134" s="5">
        <v>195</v>
      </c>
      <c r="B134" s="15">
        <v>45362</v>
      </c>
      <c r="C134" s="5">
        <v>466126</v>
      </c>
      <c r="D134" s="5" t="s">
        <v>84</v>
      </c>
      <c r="E134" s="5">
        <v>25</v>
      </c>
      <c r="F134" s="32" t="s">
        <v>266</v>
      </c>
      <c r="H134" s="17"/>
    </row>
    <row r="135" spans="1:8">
      <c r="A135" s="5">
        <v>153</v>
      </c>
      <c r="B135" s="15">
        <v>45355</v>
      </c>
      <c r="C135" s="5">
        <v>688897</v>
      </c>
      <c r="D135" s="5" t="s">
        <v>72</v>
      </c>
      <c r="E135" s="5">
        <v>43</v>
      </c>
      <c r="F135" s="32" t="s">
        <v>267</v>
      </c>
      <c r="H135" s="17"/>
    </row>
    <row r="136" spans="1:8">
      <c r="A136" s="5">
        <v>153</v>
      </c>
      <c r="B136" s="15">
        <v>45368</v>
      </c>
      <c r="C136" s="5">
        <v>688897</v>
      </c>
      <c r="D136" s="5" t="s">
        <v>96</v>
      </c>
      <c r="E136" s="5">
        <v>19</v>
      </c>
      <c r="F136" s="32" t="s">
        <v>268</v>
      </c>
      <c r="H136" s="17"/>
    </row>
    <row r="137" spans="1:8">
      <c r="A137" s="5">
        <v>186</v>
      </c>
      <c r="B137" s="15">
        <v>45373</v>
      </c>
      <c r="C137" s="5">
        <v>243994</v>
      </c>
      <c r="D137" s="5" t="s">
        <v>72</v>
      </c>
      <c r="E137" s="5">
        <v>9</v>
      </c>
      <c r="F137" s="32" t="s">
        <v>269</v>
      </c>
      <c r="H137" s="17"/>
    </row>
    <row r="138" spans="1:8">
      <c r="A138" s="5">
        <v>179</v>
      </c>
      <c r="B138" s="15">
        <v>45305</v>
      </c>
      <c r="C138" s="5">
        <v>243994</v>
      </c>
      <c r="D138" s="5" t="s">
        <v>94</v>
      </c>
      <c r="E138" s="5">
        <v>32</v>
      </c>
      <c r="F138" s="32" t="s">
        <v>270</v>
      </c>
      <c r="H138" s="17"/>
    </row>
    <row r="139" spans="1:8">
      <c r="A139" s="5">
        <v>186</v>
      </c>
      <c r="B139" s="15">
        <v>45313</v>
      </c>
      <c r="C139" s="5">
        <v>243994</v>
      </c>
      <c r="D139" s="5" t="s">
        <v>86</v>
      </c>
      <c r="E139" s="5">
        <v>50</v>
      </c>
      <c r="F139" s="32" t="s">
        <v>271</v>
      </c>
      <c r="H139" s="17"/>
    </row>
    <row r="140" spans="1:8">
      <c r="A140" s="5">
        <v>179</v>
      </c>
      <c r="B140" s="15">
        <v>45300</v>
      </c>
      <c r="C140" s="5">
        <v>243994</v>
      </c>
      <c r="D140" s="5" t="s">
        <v>80</v>
      </c>
      <c r="E140" s="5">
        <v>13</v>
      </c>
      <c r="F140" s="32" t="s">
        <v>272</v>
      </c>
      <c r="H140" s="17"/>
    </row>
    <row r="141" spans="1:8">
      <c r="A141" s="5">
        <v>157</v>
      </c>
      <c r="B141" s="15">
        <v>45295</v>
      </c>
      <c r="C141" s="5">
        <v>688897</v>
      </c>
      <c r="D141" s="5" t="s">
        <v>75</v>
      </c>
      <c r="E141" s="5">
        <v>4</v>
      </c>
      <c r="F141" s="32" t="s">
        <v>273</v>
      </c>
      <c r="H141" s="17"/>
    </row>
    <row r="142" spans="1:8">
      <c r="A142" s="5">
        <v>151</v>
      </c>
      <c r="B142" s="15">
        <v>45295</v>
      </c>
      <c r="C142" s="5">
        <v>443480</v>
      </c>
      <c r="D142" s="5" t="s">
        <v>75</v>
      </c>
      <c r="E142" s="5">
        <v>34</v>
      </c>
      <c r="F142" s="32" t="s">
        <v>274</v>
      </c>
      <c r="H142" s="17"/>
    </row>
    <row r="143" spans="1:8">
      <c r="A143" s="5">
        <v>163</v>
      </c>
      <c r="B143" s="15">
        <v>45335</v>
      </c>
      <c r="C143" s="5">
        <v>443480</v>
      </c>
      <c r="D143" s="5" t="s">
        <v>96</v>
      </c>
      <c r="E143" s="5">
        <v>20</v>
      </c>
      <c r="F143" s="32" t="s">
        <v>275</v>
      </c>
      <c r="H143" s="17"/>
    </row>
    <row r="144" spans="1:8">
      <c r="A144" s="5">
        <v>127</v>
      </c>
      <c r="B144" s="15">
        <v>45339</v>
      </c>
      <c r="C144" s="5">
        <v>171444</v>
      </c>
      <c r="D144" s="5" t="s">
        <v>100</v>
      </c>
      <c r="E144" s="5">
        <v>21</v>
      </c>
      <c r="F144" s="32" t="s">
        <v>276</v>
      </c>
      <c r="H144" s="17"/>
    </row>
    <row r="145" spans="1:8">
      <c r="A145" s="5">
        <v>179</v>
      </c>
      <c r="B145" s="15">
        <v>45299</v>
      </c>
      <c r="C145" s="5">
        <v>243994</v>
      </c>
      <c r="D145" s="5" t="s">
        <v>103</v>
      </c>
      <c r="E145" s="5">
        <v>35</v>
      </c>
      <c r="F145" s="32" t="s">
        <v>277</v>
      </c>
      <c r="H145" s="17"/>
    </row>
    <row r="146" spans="1:8">
      <c r="A146" s="5">
        <v>179</v>
      </c>
      <c r="B146" s="15">
        <v>45361</v>
      </c>
      <c r="C146" s="5">
        <v>243994</v>
      </c>
      <c r="D146" s="5" t="s">
        <v>89</v>
      </c>
      <c r="E146" s="5">
        <v>26</v>
      </c>
      <c r="F146" s="32" t="s">
        <v>278</v>
      </c>
      <c r="H146" s="17"/>
    </row>
    <row r="147" spans="1:8">
      <c r="A147" s="5">
        <v>151</v>
      </c>
      <c r="B147" s="15">
        <v>45326</v>
      </c>
      <c r="C147" s="5">
        <v>171444</v>
      </c>
      <c r="D147" s="5" t="s">
        <v>98</v>
      </c>
      <c r="E147" s="5">
        <v>11</v>
      </c>
      <c r="F147" s="32" t="s">
        <v>279</v>
      </c>
      <c r="H147" s="17"/>
    </row>
    <row r="148" spans="1:8">
      <c r="A148" s="5">
        <v>195</v>
      </c>
      <c r="B148" s="15">
        <v>45323</v>
      </c>
      <c r="C148" s="5">
        <v>688897</v>
      </c>
      <c r="D148" s="5" t="s">
        <v>100</v>
      </c>
      <c r="E148" s="5">
        <v>30</v>
      </c>
      <c r="F148" s="32" t="s">
        <v>280</v>
      </c>
      <c r="H148" s="17"/>
    </row>
    <row r="149" spans="1:8">
      <c r="A149" s="5">
        <v>152</v>
      </c>
      <c r="B149" s="15">
        <v>45365</v>
      </c>
      <c r="C149" s="5">
        <v>171444</v>
      </c>
      <c r="D149" s="5" t="s">
        <v>98</v>
      </c>
      <c r="E149" s="5">
        <v>40</v>
      </c>
      <c r="F149" s="32" t="s">
        <v>281</v>
      </c>
      <c r="H149" s="17"/>
    </row>
    <row r="150" spans="1:8">
      <c r="A150" s="5">
        <v>127</v>
      </c>
      <c r="B150" s="15">
        <v>45327</v>
      </c>
      <c r="C150" s="5">
        <v>171444</v>
      </c>
      <c r="D150" s="5" t="s">
        <v>78</v>
      </c>
      <c r="E150" s="5">
        <v>14</v>
      </c>
      <c r="F150" s="32" t="s">
        <v>282</v>
      </c>
      <c r="H150" s="17"/>
    </row>
    <row r="151" spans="1:8">
      <c r="A151" s="5">
        <v>163</v>
      </c>
      <c r="B151" s="15">
        <v>45360</v>
      </c>
      <c r="C151" s="5">
        <v>443480</v>
      </c>
      <c r="D151" s="5" t="s">
        <v>78</v>
      </c>
      <c r="E151" s="5">
        <v>5</v>
      </c>
      <c r="F151" s="32" t="s">
        <v>283</v>
      </c>
      <c r="H151" s="17"/>
    </row>
    <row r="152" spans="1:8">
      <c r="A152" s="5">
        <v>195</v>
      </c>
      <c r="B152" s="15">
        <v>45359</v>
      </c>
      <c r="C152" s="5">
        <v>466126</v>
      </c>
      <c r="D152" s="5" t="s">
        <v>80</v>
      </c>
      <c r="E152" s="5">
        <v>48</v>
      </c>
      <c r="F152" s="32" t="s">
        <v>284</v>
      </c>
      <c r="H152" s="17"/>
    </row>
    <row r="153" spans="1:8">
      <c r="A153" s="5">
        <v>186</v>
      </c>
      <c r="B153" s="15">
        <v>45378</v>
      </c>
      <c r="C153" s="5">
        <v>243994</v>
      </c>
      <c r="D153" s="5" t="s">
        <v>78</v>
      </c>
      <c r="E153" s="5">
        <v>19</v>
      </c>
      <c r="F153" s="32" t="s">
        <v>285</v>
      </c>
      <c r="H153" s="17"/>
    </row>
    <row r="154" spans="1:8">
      <c r="A154" s="5">
        <v>127</v>
      </c>
      <c r="B154" s="15">
        <v>45357</v>
      </c>
      <c r="C154" s="5">
        <v>171444</v>
      </c>
      <c r="D154" s="5" t="s">
        <v>91</v>
      </c>
      <c r="E154" s="5">
        <v>35</v>
      </c>
      <c r="F154" s="32" t="s">
        <v>286</v>
      </c>
      <c r="H154" s="17"/>
    </row>
    <row r="155" spans="1:8">
      <c r="A155" s="5">
        <v>157</v>
      </c>
      <c r="B155" s="15">
        <v>45314</v>
      </c>
      <c r="C155" s="5">
        <v>688897</v>
      </c>
      <c r="D155" s="5" t="s">
        <v>89</v>
      </c>
      <c r="E155" s="5">
        <v>6</v>
      </c>
      <c r="F155" s="32" t="s">
        <v>287</v>
      </c>
      <c r="H155" s="17"/>
    </row>
    <row r="156" spans="1:8">
      <c r="A156" s="5">
        <v>195</v>
      </c>
      <c r="B156" s="15">
        <v>45365</v>
      </c>
      <c r="C156" s="5">
        <v>466126</v>
      </c>
      <c r="D156" s="5" t="s">
        <v>80</v>
      </c>
      <c r="E156" s="5">
        <v>39</v>
      </c>
      <c r="F156" s="32" t="s">
        <v>288</v>
      </c>
      <c r="H156" s="17"/>
    </row>
    <row r="157" spans="1:8">
      <c r="A157" s="5">
        <v>179</v>
      </c>
      <c r="B157" s="15">
        <v>45353</v>
      </c>
      <c r="C157" s="5">
        <v>243994</v>
      </c>
      <c r="D157" s="5" t="s">
        <v>75</v>
      </c>
      <c r="E157" s="5">
        <v>6</v>
      </c>
      <c r="F157" s="32" t="s">
        <v>289</v>
      </c>
      <c r="H157" s="17"/>
    </row>
    <row r="158" spans="1:8">
      <c r="A158" s="5">
        <v>108</v>
      </c>
      <c r="B158" s="15">
        <v>45327</v>
      </c>
      <c r="C158" s="5">
        <v>466126</v>
      </c>
      <c r="D158" s="5" t="s">
        <v>91</v>
      </c>
      <c r="E158" s="5">
        <v>33</v>
      </c>
      <c r="F158" s="32" t="s">
        <v>290</v>
      </c>
      <c r="H158" s="17"/>
    </row>
    <row r="159" spans="1:8">
      <c r="A159" s="5">
        <v>195</v>
      </c>
      <c r="B159" s="15">
        <v>45366</v>
      </c>
      <c r="C159" s="5">
        <v>466126</v>
      </c>
      <c r="D159" s="5" t="s">
        <v>84</v>
      </c>
      <c r="E159" s="5">
        <v>17</v>
      </c>
      <c r="F159" s="32" t="s">
        <v>291</v>
      </c>
      <c r="H159" s="17"/>
    </row>
    <row r="160" spans="1:8">
      <c r="A160" s="5">
        <v>179</v>
      </c>
      <c r="B160" s="15">
        <v>45354</v>
      </c>
      <c r="C160" s="5">
        <v>243994</v>
      </c>
      <c r="D160" s="5" t="s">
        <v>75</v>
      </c>
      <c r="E160" s="5">
        <v>9</v>
      </c>
      <c r="F160" s="32" t="s">
        <v>292</v>
      </c>
      <c r="H160" s="17"/>
    </row>
    <row r="161" spans="1:8">
      <c r="A161" s="5">
        <v>153</v>
      </c>
      <c r="B161" s="15">
        <v>45336</v>
      </c>
      <c r="C161" s="5">
        <v>688897</v>
      </c>
      <c r="D161" s="5" t="s">
        <v>96</v>
      </c>
      <c r="E161" s="5">
        <v>5</v>
      </c>
      <c r="F161" s="32" t="s">
        <v>293</v>
      </c>
      <c r="H161" s="17"/>
    </row>
    <row r="162" spans="1:8">
      <c r="A162" s="5">
        <v>151</v>
      </c>
      <c r="B162" s="15">
        <v>45315</v>
      </c>
      <c r="C162" s="5">
        <v>443480</v>
      </c>
      <c r="D162" s="5" t="s">
        <v>80</v>
      </c>
      <c r="E162" s="5">
        <v>20</v>
      </c>
      <c r="F162" s="32" t="s">
        <v>294</v>
      </c>
      <c r="H162" s="17"/>
    </row>
    <row r="163" spans="1:8">
      <c r="A163" s="5">
        <v>195</v>
      </c>
      <c r="B163" s="15">
        <v>45335</v>
      </c>
      <c r="C163" s="5">
        <v>466126</v>
      </c>
      <c r="D163" s="5" t="s">
        <v>103</v>
      </c>
      <c r="E163" s="5">
        <v>20</v>
      </c>
      <c r="F163" s="32" t="s">
        <v>295</v>
      </c>
      <c r="H163" s="17"/>
    </row>
    <row r="164" spans="1:8">
      <c r="A164" s="5">
        <v>195</v>
      </c>
      <c r="B164" s="15">
        <v>45298</v>
      </c>
      <c r="C164" s="5">
        <v>466126</v>
      </c>
      <c r="D164" s="5" t="s">
        <v>89</v>
      </c>
      <c r="E164" s="5">
        <v>50</v>
      </c>
      <c r="F164" s="32" t="s">
        <v>296</v>
      </c>
      <c r="H164" s="17"/>
    </row>
    <row r="165" spans="1:8">
      <c r="A165" s="5">
        <v>152</v>
      </c>
      <c r="B165" s="15">
        <v>45331</v>
      </c>
      <c r="C165" s="5">
        <v>171444</v>
      </c>
      <c r="D165" s="5" t="s">
        <v>80</v>
      </c>
      <c r="E165" s="5">
        <v>34</v>
      </c>
      <c r="F165" s="32" t="s">
        <v>297</v>
      </c>
      <c r="H165" s="17"/>
    </row>
    <row r="166" spans="1:8">
      <c r="A166" s="5">
        <v>179</v>
      </c>
      <c r="B166" s="15">
        <v>45318</v>
      </c>
      <c r="C166" s="5">
        <v>243994</v>
      </c>
      <c r="D166" s="5" t="s">
        <v>98</v>
      </c>
      <c r="E166" s="5">
        <v>33</v>
      </c>
      <c r="F166" s="32" t="s">
        <v>298</v>
      </c>
      <c r="H166" s="17"/>
    </row>
    <row r="167" spans="1:8">
      <c r="A167" s="5">
        <v>157</v>
      </c>
      <c r="B167" s="15">
        <v>45356</v>
      </c>
      <c r="C167" s="5">
        <v>688897</v>
      </c>
      <c r="D167" s="5" t="s">
        <v>84</v>
      </c>
      <c r="E167" s="5">
        <v>5</v>
      </c>
      <c r="F167" s="32" t="s">
        <v>299</v>
      </c>
      <c r="H167" s="17"/>
    </row>
    <row r="168" spans="1:8">
      <c r="A168" s="5">
        <v>186</v>
      </c>
      <c r="B168" s="15">
        <v>45303</v>
      </c>
      <c r="C168" s="5">
        <v>243994</v>
      </c>
      <c r="D168" s="5" t="s">
        <v>72</v>
      </c>
      <c r="E168" s="5">
        <v>20</v>
      </c>
      <c r="F168" s="32" t="s">
        <v>300</v>
      </c>
      <c r="H168" s="17"/>
    </row>
    <row r="169" spans="1:8">
      <c r="A169" s="5">
        <v>151</v>
      </c>
      <c r="B169" s="15">
        <v>45313</v>
      </c>
      <c r="C169" s="5">
        <v>443480</v>
      </c>
      <c r="D169" s="5" t="s">
        <v>94</v>
      </c>
      <c r="E169" s="5">
        <v>10</v>
      </c>
      <c r="F169" s="32" t="s">
        <v>301</v>
      </c>
      <c r="H169" s="17"/>
    </row>
    <row r="170" spans="1:8">
      <c r="A170" s="5">
        <v>179</v>
      </c>
      <c r="B170" s="15">
        <v>45323</v>
      </c>
      <c r="C170" s="5">
        <v>243994</v>
      </c>
      <c r="D170" s="5" t="s">
        <v>94</v>
      </c>
      <c r="E170" s="5">
        <v>50</v>
      </c>
      <c r="F170" s="32" t="s">
        <v>302</v>
      </c>
      <c r="H170" s="17"/>
    </row>
    <row r="171" spans="1:8">
      <c r="A171" s="5">
        <v>186</v>
      </c>
      <c r="B171" s="15">
        <v>45377</v>
      </c>
      <c r="C171" s="5">
        <v>243994</v>
      </c>
      <c r="D171" s="5" t="s">
        <v>78</v>
      </c>
      <c r="E171" s="5">
        <v>10</v>
      </c>
      <c r="F171" s="32" t="s">
        <v>303</v>
      </c>
      <c r="H171" s="17"/>
    </row>
    <row r="172" spans="1:8">
      <c r="A172" s="5">
        <v>152</v>
      </c>
      <c r="B172" s="15">
        <v>45330</v>
      </c>
      <c r="C172" s="5">
        <v>171444</v>
      </c>
      <c r="D172" s="5" t="s">
        <v>89</v>
      </c>
      <c r="E172" s="5">
        <v>3</v>
      </c>
      <c r="F172" s="32" t="s">
        <v>304</v>
      </c>
      <c r="H172" s="17"/>
    </row>
    <row r="173" spans="1:8">
      <c r="A173" s="5">
        <v>127</v>
      </c>
      <c r="B173" s="15">
        <v>45312</v>
      </c>
      <c r="C173" s="5">
        <v>171444</v>
      </c>
      <c r="D173" s="5" t="s">
        <v>96</v>
      </c>
      <c r="E173" s="5">
        <v>25</v>
      </c>
      <c r="F173" s="32" t="s">
        <v>305</v>
      </c>
      <c r="H173" s="17"/>
    </row>
    <row r="174" spans="1:8">
      <c r="A174" s="5">
        <v>157</v>
      </c>
      <c r="B174" s="15">
        <v>45296</v>
      </c>
      <c r="C174" s="5">
        <v>688897</v>
      </c>
      <c r="D174" s="5" t="s">
        <v>103</v>
      </c>
      <c r="E174" s="5">
        <v>18</v>
      </c>
      <c r="F174" s="32" t="s">
        <v>306</v>
      </c>
      <c r="H174" s="17"/>
    </row>
    <row r="175" spans="1:8">
      <c r="A175" s="5">
        <v>108</v>
      </c>
      <c r="B175" s="15">
        <v>45317</v>
      </c>
      <c r="C175" s="5">
        <v>466126</v>
      </c>
      <c r="D175" s="5" t="s">
        <v>96</v>
      </c>
      <c r="E175" s="5">
        <v>24</v>
      </c>
      <c r="F175" s="32" t="s">
        <v>307</v>
      </c>
      <c r="H175" s="17"/>
    </row>
    <row r="176" spans="1:8">
      <c r="A176" s="5">
        <v>186</v>
      </c>
      <c r="B176" s="15">
        <v>45309</v>
      </c>
      <c r="C176" s="5">
        <v>243994</v>
      </c>
      <c r="D176" s="5" t="s">
        <v>100</v>
      </c>
      <c r="E176" s="5">
        <v>37</v>
      </c>
      <c r="F176" s="32" t="s">
        <v>308</v>
      </c>
      <c r="H176" s="17"/>
    </row>
    <row r="177" spans="1:8">
      <c r="A177" s="5">
        <v>179</v>
      </c>
      <c r="B177" s="15">
        <v>45304</v>
      </c>
      <c r="C177" s="5">
        <v>243994</v>
      </c>
      <c r="D177" s="5" t="s">
        <v>89</v>
      </c>
      <c r="E177" s="5">
        <v>6</v>
      </c>
      <c r="F177" s="32" t="s">
        <v>309</v>
      </c>
      <c r="H177" s="17"/>
    </row>
    <row r="178" spans="1:8">
      <c r="A178" s="5">
        <v>127</v>
      </c>
      <c r="B178" s="15">
        <v>45293</v>
      </c>
      <c r="C178" s="5">
        <v>171444</v>
      </c>
      <c r="D178" s="5" t="s">
        <v>72</v>
      </c>
      <c r="E178" s="5">
        <v>24</v>
      </c>
      <c r="F178" s="32" t="s">
        <v>310</v>
      </c>
      <c r="H178" s="17"/>
    </row>
    <row r="179" spans="1:8">
      <c r="A179" s="5">
        <v>195</v>
      </c>
      <c r="B179" s="15">
        <v>45341</v>
      </c>
      <c r="C179" s="5">
        <v>443480</v>
      </c>
      <c r="D179" s="5" t="s">
        <v>94</v>
      </c>
      <c r="E179" s="5">
        <v>20</v>
      </c>
      <c r="F179" s="32" t="s">
        <v>311</v>
      </c>
      <c r="H179" s="17"/>
    </row>
    <row r="180" spans="1:8">
      <c r="A180" s="5">
        <v>108</v>
      </c>
      <c r="B180" s="15">
        <v>45363</v>
      </c>
      <c r="C180" s="5">
        <v>466126</v>
      </c>
      <c r="D180" s="5" t="s">
        <v>72</v>
      </c>
      <c r="E180" s="5">
        <v>2</v>
      </c>
      <c r="F180" s="32" t="s">
        <v>312</v>
      </c>
      <c r="H180" s="17"/>
    </row>
    <row r="181" spans="1:8">
      <c r="A181" s="5">
        <v>179</v>
      </c>
      <c r="B181" s="15">
        <v>45334</v>
      </c>
      <c r="C181" s="5">
        <v>243994</v>
      </c>
      <c r="D181" s="5" t="s">
        <v>80</v>
      </c>
      <c r="E181" s="5">
        <v>5</v>
      </c>
      <c r="F181" s="32" t="s">
        <v>313</v>
      </c>
      <c r="H181" s="17"/>
    </row>
    <row r="182" spans="1:8">
      <c r="A182" s="5">
        <v>195</v>
      </c>
      <c r="B182" s="15">
        <v>45338</v>
      </c>
      <c r="C182" s="5">
        <v>466126</v>
      </c>
      <c r="D182" s="5" t="s">
        <v>98</v>
      </c>
      <c r="E182" s="5">
        <v>45</v>
      </c>
      <c r="F182" s="32" t="s">
        <v>314</v>
      </c>
      <c r="H182" s="17"/>
    </row>
    <row r="183" spans="1:8">
      <c r="A183" s="5">
        <v>153</v>
      </c>
      <c r="B183" s="15">
        <v>45343</v>
      </c>
      <c r="C183" s="5">
        <v>688897</v>
      </c>
      <c r="D183" s="5" t="s">
        <v>82</v>
      </c>
      <c r="E183" s="5">
        <v>16</v>
      </c>
      <c r="F183" s="32" t="s">
        <v>315</v>
      </c>
      <c r="H183" s="17"/>
    </row>
    <row r="184" spans="1:8">
      <c r="A184" s="5">
        <v>127</v>
      </c>
      <c r="B184" s="15">
        <v>45366</v>
      </c>
      <c r="C184" s="5">
        <v>171444</v>
      </c>
      <c r="D184" s="5" t="s">
        <v>82</v>
      </c>
      <c r="E184" s="5">
        <v>37</v>
      </c>
      <c r="F184" s="32" t="s">
        <v>316</v>
      </c>
      <c r="H184" s="17"/>
    </row>
    <row r="185" spans="1:8">
      <c r="A185" s="5">
        <v>186</v>
      </c>
      <c r="B185" s="15">
        <v>45295</v>
      </c>
      <c r="C185" s="5">
        <v>171444</v>
      </c>
      <c r="D185" s="5" t="s">
        <v>86</v>
      </c>
      <c r="E185" s="5">
        <v>2</v>
      </c>
      <c r="F185" s="32" t="s">
        <v>317</v>
      </c>
      <c r="H185" s="17"/>
    </row>
    <row r="186" spans="1:8">
      <c r="A186" s="5">
        <v>179</v>
      </c>
      <c r="B186" s="15">
        <v>45303</v>
      </c>
      <c r="C186" s="5">
        <v>243994</v>
      </c>
      <c r="D186" s="5" t="s">
        <v>80</v>
      </c>
      <c r="E186" s="5">
        <v>31</v>
      </c>
      <c r="F186" s="32" t="s">
        <v>318</v>
      </c>
      <c r="H186" s="17"/>
    </row>
    <row r="187" spans="1:8">
      <c r="A187" s="5">
        <v>151</v>
      </c>
      <c r="B187" s="15">
        <v>45380</v>
      </c>
      <c r="C187" s="5">
        <v>443480</v>
      </c>
      <c r="D187" s="5" t="s">
        <v>80</v>
      </c>
      <c r="E187" s="5">
        <v>14</v>
      </c>
      <c r="F187" s="32" t="s">
        <v>319</v>
      </c>
      <c r="H187" s="17"/>
    </row>
    <row r="188" spans="1:8">
      <c r="A188" s="5">
        <v>127</v>
      </c>
      <c r="B188" s="15">
        <v>45359</v>
      </c>
      <c r="C188" s="5">
        <v>171444</v>
      </c>
      <c r="D188" s="5" t="s">
        <v>91</v>
      </c>
      <c r="E188" s="5">
        <v>5</v>
      </c>
      <c r="F188" s="32" t="s">
        <v>320</v>
      </c>
      <c r="H188" s="17"/>
    </row>
    <row r="189" spans="1:8">
      <c r="A189" s="5">
        <v>195</v>
      </c>
      <c r="B189" s="15">
        <v>45372</v>
      </c>
      <c r="C189" s="5">
        <v>466126</v>
      </c>
      <c r="D189" s="5" t="s">
        <v>98</v>
      </c>
      <c r="E189" s="5">
        <v>9</v>
      </c>
      <c r="F189" s="32" t="s">
        <v>321</v>
      </c>
      <c r="H189" s="17"/>
    </row>
    <row r="190" spans="1:8">
      <c r="A190" s="5">
        <v>186</v>
      </c>
      <c r="B190" s="15">
        <v>45329</v>
      </c>
      <c r="C190" s="5">
        <v>243994</v>
      </c>
      <c r="D190" s="5" t="s">
        <v>86</v>
      </c>
      <c r="E190" s="5">
        <v>32</v>
      </c>
      <c r="F190" s="32" t="s">
        <v>322</v>
      </c>
      <c r="H190" s="17"/>
    </row>
    <row r="191" spans="1:8">
      <c r="A191" s="5">
        <v>157</v>
      </c>
      <c r="B191" s="15">
        <v>45304</v>
      </c>
      <c r="C191" s="5">
        <v>688897</v>
      </c>
      <c r="D191" s="5" t="s">
        <v>84</v>
      </c>
      <c r="E191" s="5">
        <v>40</v>
      </c>
      <c r="F191" s="32" t="s">
        <v>323</v>
      </c>
      <c r="H191" s="17"/>
    </row>
    <row r="192" spans="1:8">
      <c r="A192" s="5">
        <v>163</v>
      </c>
      <c r="B192" s="15">
        <v>45302</v>
      </c>
      <c r="C192" s="5">
        <v>443480</v>
      </c>
      <c r="D192" s="5" t="s">
        <v>96</v>
      </c>
      <c r="E192" s="5">
        <v>37</v>
      </c>
      <c r="F192" s="32" t="s">
        <v>324</v>
      </c>
      <c r="H192" s="17"/>
    </row>
    <row r="193" spans="1:8">
      <c r="A193" s="5">
        <v>153</v>
      </c>
      <c r="B193" s="15">
        <v>45305</v>
      </c>
      <c r="C193" s="5">
        <v>688897</v>
      </c>
      <c r="D193" s="5" t="s">
        <v>91</v>
      </c>
      <c r="E193" s="5">
        <v>45</v>
      </c>
      <c r="F193" s="32" t="s">
        <v>325</v>
      </c>
      <c r="H193" s="17"/>
    </row>
    <row r="194" spans="1:8">
      <c r="A194" s="5">
        <v>153</v>
      </c>
      <c r="B194" s="15">
        <v>45323</v>
      </c>
      <c r="C194" s="5">
        <v>688897</v>
      </c>
      <c r="D194" s="5" t="s">
        <v>78</v>
      </c>
      <c r="E194" s="5">
        <v>26</v>
      </c>
      <c r="F194" s="32" t="s">
        <v>326</v>
      </c>
      <c r="H194" s="17"/>
    </row>
    <row r="195" spans="1:8">
      <c r="A195" s="5">
        <v>127</v>
      </c>
      <c r="B195" s="15">
        <v>45356</v>
      </c>
      <c r="C195" s="5">
        <v>171444</v>
      </c>
      <c r="D195" s="5" t="s">
        <v>72</v>
      </c>
      <c r="E195" s="5">
        <v>18</v>
      </c>
      <c r="F195" s="32" t="s">
        <v>327</v>
      </c>
      <c r="H195" s="17"/>
    </row>
    <row r="196" spans="1:8">
      <c r="A196" s="5">
        <v>151</v>
      </c>
      <c r="B196" s="15">
        <v>45373</v>
      </c>
      <c r="C196" s="5">
        <v>443480</v>
      </c>
      <c r="D196" s="5" t="s">
        <v>89</v>
      </c>
      <c r="E196" s="5">
        <v>40</v>
      </c>
      <c r="F196" s="32" t="s">
        <v>328</v>
      </c>
      <c r="H196" s="17"/>
    </row>
    <row r="197" spans="1:8">
      <c r="A197" s="5">
        <v>163</v>
      </c>
      <c r="B197" s="15">
        <v>45308</v>
      </c>
      <c r="C197" s="5">
        <v>443480</v>
      </c>
      <c r="D197" s="5" t="s">
        <v>86</v>
      </c>
      <c r="E197" s="5">
        <v>18</v>
      </c>
      <c r="F197" s="32" t="s">
        <v>329</v>
      </c>
      <c r="H197" s="17"/>
    </row>
    <row r="198" spans="1:8">
      <c r="A198" s="5">
        <v>195</v>
      </c>
      <c r="B198" s="15">
        <v>45375</v>
      </c>
      <c r="C198" s="5">
        <v>466126</v>
      </c>
      <c r="D198" s="5" t="s">
        <v>84</v>
      </c>
      <c r="E198" s="5">
        <v>19</v>
      </c>
      <c r="F198" s="32" t="s">
        <v>330</v>
      </c>
      <c r="H198" s="17"/>
    </row>
    <row r="199" spans="1:8">
      <c r="A199" s="5">
        <v>186</v>
      </c>
      <c r="B199" s="15">
        <v>45369</v>
      </c>
      <c r="C199" s="5">
        <v>243994</v>
      </c>
      <c r="D199" s="5" t="s">
        <v>82</v>
      </c>
      <c r="E199" s="5">
        <v>3</v>
      </c>
      <c r="F199" s="32" t="s">
        <v>331</v>
      </c>
      <c r="H199" s="17"/>
    </row>
    <row r="200" spans="1:8">
      <c r="A200" s="5">
        <v>186</v>
      </c>
      <c r="B200" s="15">
        <v>45356</v>
      </c>
      <c r="C200" s="5">
        <v>243994</v>
      </c>
      <c r="D200" s="5" t="s">
        <v>91</v>
      </c>
      <c r="E200" s="5">
        <v>7</v>
      </c>
      <c r="F200" s="32" t="s">
        <v>332</v>
      </c>
      <c r="H200" s="17"/>
    </row>
    <row r="201" spans="1:8">
      <c r="A201" s="5">
        <v>163</v>
      </c>
      <c r="B201" s="15">
        <v>45380</v>
      </c>
      <c r="C201" s="5">
        <v>443480</v>
      </c>
      <c r="D201" s="5" t="s">
        <v>72</v>
      </c>
      <c r="E201" s="5">
        <v>17</v>
      </c>
      <c r="F201" s="32" t="s">
        <v>333</v>
      </c>
      <c r="H201" s="17"/>
    </row>
    <row r="202" spans="1:8">
      <c r="A202" s="5">
        <v>195</v>
      </c>
      <c r="B202" s="15">
        <v>45343</v>
      </c>
      <c r="C202" s="5">
        <v>466126</v>
      </c>
      <c r="D202" s="5" t="s">
        <v>75</v>
      </c>
      <c r="E202" s="5">
        <v>45</v>
      </c>
      <c r="F202" s="32" t="s">
        <v>334</v>
      </c>
      <c r="H202" s="17"/>
    </row>
    <row r="203" spans="1:8">
      <c r="A203" s="5">
        <v>127</v>
      </c>
      <c r="B203" s="15">
        <v>45334</v>
      </c>
      <c r="C203" s="5">
        <v>171444</v>
      </c>
      <c r="D203" s="5" t="s">
        <v>100</v>
      </c>
      <c r="E203" s="5">
        <v>7</v>
      </c>
      <c r="F203" s="32" t="s">
        <v>335</v>
      </c>
      <c r="H203" s="17"/>
    </row>
    <row r="204" spans="1:8">
      <c r="A204" s="5">
        <v>157</v>
      </c>
      <c r="B204" s="15">
        <v>45354</v>
      </c>
      <c r="C204" s="5">
        <v>688897</v>
      </c>
      <c r="D204" s="5" t="s">
        <v>98</v>
      </c>
      <c r="E204" s="5">
        <v>37</v>
      </c>
      <c r="F204" s="32" t="s">
        <v>336</v>
      </c>
      <c r="H204" s="17"/>
    </row>
    <row r="205" spans="1:8">
      <c r="A205" s="5">
        <v>179</v>
      </c>
      <c r="B205" s="15">
        <v>45320</v>
      </c>
      <c r="C205" s="5">
        <v>243994</v>
      </c>
      <c r="D205" s="5" t="s">
        <v>89</v>
      </c>
      <c r="E205" s="5">
        <v>15</v>
      </c>
      <c r="F205" s="32" t="s">
        <v>337</v>
      </c>
      <c r="H205" s="17"/>
    </row>
    <row r="206" spans="1:8">
      <c r="A206" s="5">
        <v>151</v>
      </c>
      <c r="B206" s="15">
        <v>45375</v>
      </c>
      <c r="C206" s="5">
        <v>443480</v>
      </c>
      <c r="D206" s="5" t="s">
        <v>89</v>
      </c>
      <c r="E206" s="5">
        <v>6</v>
      </c>
      <c r="F206" s="32" t="s">
        <v>338</v>
      </c>
      <c r="H206" s="17"/>
    </row>
    <row r="207" spans="1:8">
      <c r="A207" s="5">
        <v>179</v>
      </c>
      <c r="B207" s="15">
        <v>45312</v>
      </c>
      <c r="C207" s="5">
        <v>243994</v>
      </c>
      <c r="D207" s="5" t="s">
        <v>98</v>
      </c>
      <c r="E207" s="5">
        <v>19</v>
      </c>
      <c r="F207" s="32" t="s">
        <v>339</v>
      </c>
      <c r="H207" s="17"/>
    </row>
    <row r="208" spans="1:8">
      <c r="A208" s="5">
        <v>153</v>
      </c>
      <c r="B208" s="15">
        <v>45370</v>
      </c>
      <c r="C208" s="5">
        <v>688897</v>
      </c>
      <c r="D208" s="5" t="s">
        <v>86</v>
      </c>
      <c r="E208" s="5">
        <v>14</v>
      </c>
      <c r="F208" s="32" t="s">
        <v>340</v>
      </c>
      <c r="H208" s="17"/>
    </row>
    <row r="209" spans="1:8">
      <c r="A209" s="5">
        <v>195</v>
      </c>
      <c r="B209" s="15">
        <v>45341</v>
      </c>
      <c r="C209" s="5">
        <v>466126</v>
      </c>
      <c r="D209" s="5" t="s">
        <v>94</v>
      </c>
      <c r="E209" s="5">
        <v>5</v>
      </c>
      <c r="F209" s="32" t="s">
        <v>341</v>
      </c>
      <c r="H209" s="17"/>
    </row>
    <row r="210" spans="1:8">
      <c r="A210" s="5">
        <v>157</v>
      </c>
      <c r="B210" s="15">
        <v>45353</v>
      </c>
      <c r="C210" s="5">
        <v>688897</v>
      </c>
      <c r="D210" s="5" t="s">
        <v>98</v>
      </c>
      <c r="E210" s="5">
        <v>21</v>
      </c>
      <c r="F210" s="32" t="s">
        <v>342</v>
      </c>
      <c r="H210" s="17"/>
    </row>
    <row r="211" spans="1:8">
      <c r="A211" s="5">
        <v>108</v>
      </c>
      <c r="B211" s="15">
        <v>45362</v>
      </c>
      <c r="C211" s="5">
        <v>466126</v>
      </c>
      <c r="D211" s="5" t="s">
        <v>78</v>
      </c>
      <c r="E211" s="5">
        <v>23</v>
      </c>
      <c r="F211" s="32" t="s">
        <v>343</v>
      </c>
      <c r="H211" s="17"/>
    </row>
    <row r="212" spans="1:8">
      <c r="A212" s="5">
        <v>186</v>
      </c>
      <c r="B212" s="15">
        <v>45367</v>
      </c>
      <c r="C212" s="5">
        <v>243994</v>
      </c>
      <c r="D212" s="5" t="s">
        <v>82</v>
      </c>
      <c r="E212" s="5">
        <v>30</v>
      </c>
      <c r="F212" s="32" t="s">
        <v>344</v>
      </c>
      <c r="H212" s="17"/>
    </row>
    <row r="213" spans="1:8">
      <c r="A213" s="5">
        <v>108</v>
      </c>
      <c r="B213" s="15">
        <v>45337</v>
      </c>
      <c r="C213" s="5">
        <v>466126</v>
      </c>
      <c r="D213" s="5" t="s">
        <v>100</v>
      </c>
      <c r="E213" s="5">
        <v>35</v>
      </c>
      <c r="F213" s="32" t="s">
        <v>345</v>
      </c>
      <c r="H213" s="17"/>
    </row>
    <row r="214" spans="1:8">
      <c r="A214" s="5">
        <v>153</v>
      </c>
      <c r="B214" s="15">
        <v>45317</v>
      </c>
      <c r="C214" s="5">
        <v>688897</v>
      </c>
      <c r="D214" s="5" t="s">
        <v>100</v>
      </c>
      <c r="E214" s="5">
        <v>28</v>
      </c>
      <c r="F214" s="32" t="s">
        <v>346</v>
      </c>
      <c r="H214" s="17"/>
    </row>
    <row r="215" spans="1:8">
      <c r="A215" s="5">
        <v>151</v>
      </c>
      <c r="B215" s="15">
        <v>45373</v>
      </c>
      <c r="C215" s="5">
        <v>443480</v>
      </c>
      <c r="D215" s="5" t="s">
        <v>75</v>
      </c>
      <c r="E215" s="5">
        <v>31</v>
      </c>
      <c r="F215" s="32" t="s">
        <v>347</v>
      </c>
      <c r="H215" s="17"/>
    </row>
    <row r="216" spans="1:8">
      <c r="A216" s="5">
        <v>108</v>
      </c>
      <c r="B216" s="15">
        <v>45369</v>
      </c>
      <c r="C216" s="5">
        <v>466126</v>
      </c>
      <c r="D216" s="5" t="s">
        <v>72</v>
      </c>
      <c r="E216" s="5">
        <v>14</v>
      </c>
      <c r="F216" s="32" t="s">
        <v>348</v>
      </c>
      <c r="H216" s="17"/>
    </row>
    <row r="217" spans="1:8">
      <c r="A217" s="5">
        <v>108</v>
      </c>
      <c r="B217" s="15">
        <v>45308</v>
      </c>
      <c r="C217" s="5">
        <v>466126</v>
      </c>
      <c r="D217" s="5" t="s">
        <v>86</v>
      </c>
      <c r="E217" s="5">
        <v>26</v>
      </c>
      <c r="F217" s="32" t="s">
        <v>349</v>
      </c>
      <c r="H217" s="17"/>
    </row>
    <row r="218" spans="1:8">
      <c r="A218" s="5">
        <v>179</v>
      </c>
      <c r="B218" s="15">
        <v>45337</v>
      </c>
      <c r="C218" s="5">
        <v>243994</v>
      </c>
      <c r="D218" s="5" t="s">
        <v>84</v>
      </c>
      <c r="E218" s="5">
        <v>7</v>
      </c>
      <c r="F218" s="32" t="s">
        <v>350</v>
      </c>
      <c r="H218" s="17"/>
    </row>
    <row r="219" spans="1:8">
      <c r="A219" s="5">
        <v>108</v>
      </c>
      <c r="B219" s="15">
        <v>45318</v>
      </c>
      <c r="C219" s="5">
        <v>466126</v>
      </c>
      <c r="D219" s="5" t="s">
        <v>86</v>
      </c>
      <c r="E219" s="5">
        <v>13</v>
      </c>
      <c r="F219" s="32" t="s">
        <v>351</v>
      </c>
      <c r="H219" s="17"/>
    </row>
    <row r="220" spans="1:8">
      <c r="A220" s="5">
        <v>153</v>
      </c>
      <c r="B220" s="15">
        <v>45296</v>
      </c>
      <c r="C220" s="5">
        <v>688897</v>
      </c>
      <c r="D220" s="5" t="s">
        <v>100</v>
      </c>
      <c r="E220" s="5">
        <v>50</v>
      </c>
      <c r="F220" s="32" t="s">
        <v>352</v>
      </c>
      <c r="H220" s="17"/>
    </row>
    <row r="221" spans="1:8">
      <c r="A221" s="5">
        <v>163</v>
      </c>
      <c r="B221" s="15">
        <v>45308</v>
      </c>
      <c r="C221" s="5">
        <v>443480</v>
      </c>
      <c r="D221" s="5" t="s">
        <v>91</v>
      </c>
      <c r="E221" s="5">
        <v>50</v>
      </c>
      <c r="F221" s="32" t="s">
        <v>353</v>
      </c>
      <c r="H221" s="17"/>
    </row>
    <row r="222" spans="1:8">
      <c r="A222" s="5">
        <v>186</v>
      </c>
      <c r="B222" s="15">
        <v>45307</v>
      </c>
      <c r="C222" s="5">
        <v>243994</v>
      </c>
      <c r="D222" s="5" t="s">
        <v>86</v>
      </c>
      <c r="E222" s="5">
        <v>37</v>
      </c>
      <c r="F222" s="32" t="s">
        <v>354</v>
      </c>
      <c r="H222" s="17"/>
    </row>
    <row r="223" spans="1:8">
      <c r="A223" s="5">
        <v>108</v>
      </c>
      <c r="B223" s="15">
        <v>45326</v>
      </c>
      <c r="C223" s="5">
        <v>466126</v>
      </c>
      <c r="D223" s="5" t="s">
        <v>82</v>
      </c>
      <c r="E223" s="5">
        <v>40</v>
      </c>
      <c r="F223" s="32" t="s">
        <v>355</v>
      </c>
      <c r="H223" s="17"/>
    </row>
    <row r="224" spans="1:8">
      <c r="A224" s="5">
        <v>153</v>
      </c>
      <c r="B224" s="15">
        <v>45362</v>
      </c>
      <c r="C224" s="5">
        <v>688897</v>
      </c>
      <c r="D224" s="5" t="s">
        <v>96</v>
      </c>
      <c r="E224" s="5">
        <v>28</v>
      </c>
      <c r="F224" s="32" t="s">
        <v>356</v>
      </c>
      <c r="H224" s="17"/>
    </row>
    <row r="225" spans="1:8">
      <c r="A225" s="5">
        <v>127</v>
      </c>
      <c r="B225" s="15">
        <v>45370</v>
      </c>
      <c r="C225" s="5">
        <v>171444</v>
      </c>
      <c r="D225" s="5" t="s">
        <v>100</v>
      </c>
      <c r="E225" s="5">
        <v>46</v>
      </c>
      <c r="F225" s="32" t="s">
        <v>357</v>
      </c>
      <c r="H225" s="17"/>
    </row>
    <row r="226" spans="1:8">
      <c r="A226" s="5">
        <v>152</v>
      </c>
      <c r="B226" s="15">
        <v>45327</v>
      </c>
      <c r="C226" s="5">
        <v>171444</v>
      </c>
      <c r="D226" s="5" t="s">
        <v>103</v>
      </c>
      <c r="E226" s="5">
        <v>29</v>
      </c>
      <c r="F226" s="32" t="s">
        <v>358</v>
      </c>
      <c r="H226" s="17"/>
    </row>
    <row r="227" spans="1:8">
      <c r="A227" s="5">
        <v>152</v>
      </c>
      <c r="B227" s="15">
        <v>45332</v>
      </c>
      <c r="C227" s="5">
        <v>171444</v>
      </c>
      <c r="D227" s="5" t="s">
        <v>84</v>
      </c>
      <c r="E227" s="5">
        <v>19</v>
      </c>
      <c r="F227" s="32" t="s">
        <v>359</v>
      </c>
      <c r="H227" s="17"/>
    </row>
    <row r="228" spans="1:8">
      <c r="A228" s="5">
        <v>152</v>
      </c>
      <c r="B228" s="15">
        <v>45360</v>
      </c>
      <c r="C228" s="5">
        <v>171444</v>
      </c>
      <c r="D228" s="5" t="s">
        <v>94</v>
      </c>
      <c r="E228" s="5">
        <v>33</v>
      </c>
      <c r="F228" s="32" t="s">
        <v>360</v>
      </c>
      <c r="H228" s="17"/>
    </row>
    <row r="229" spans="1:8">
      <c r="A229" s="5">
        <v>151</v>
      </c>
      <c r="B229" s="15">
        <v>45334</v>
      </c>
      <c r="C229" s="5">
        <v>443480</v>
      </c>
      <c r="D229" s="5" t="s">
        <v>80</v>
      </c>
      <c r="E229" s="5">
        <v>7</v>
      </c>
      <c r="F229" s="32" t="s">
        <v>361</v>
      </c>
      <c r="H229" s="17"/>
    </row>
    <row r="230" spans="1:8">
      <c r="A230" s="5">
        <v>157</v>
      </c>
      <c r="B230" s="15">
        <v>45315</v>
      </c>
      <c r="C230" s="5">
        <v>688897</v>
      </c>
      <c r="D230" s="5" t="s">
        <v>80</v>
      </c>
      <c r="E230" s="5">
        <v>27</v>
      </c>
      <c r="F230" s="32" t="s">
        <v>362</v>
      </c>
      <c r="H230" s="17"/>
    </row>
    <row r="231" spans="1:8">
      <c r="A231" s="5">
        <v>151</v>
      </c>
      <c r="B231" s="15">
        <v>45317</v>
      </c>
      <c r="C231" s="5">
        <v>443480</v>
      </c>
      <c r="D231" s="5" t="s">
        <v>103</v>
      </c>
      <c r="E231" s="5">
        <v>32</v>
      </c>
      <c r="F231" s="32" t="s">
        <v>363</v>
      </c>
      <c r="H231" s="17"/>
    </row>
    <row r="232" spans="1:8">
      <c r="A232" s="5">
        <v>163</v>
      </c>
      <c r="B232" s="15">
        <v>45357</v>
      </c>
      <c r="C232" s="5">
        <v>443480</v>
      </c>
      <c r="D232" s="5" t="s">
        <v>78</v>
      </c>
      <c r="E232" s="5">
        <v>47</v>
      </c>
      <c r="F232" s="32" t="s">
        <v>364</v>
      </c>
      <c r="H232" s="17"/>
    </row>
    <row r="233" spans="1:8">
      <c r="A233" s="5">
        <v>108</v>
      </c>
      <c r="B233" s="15">
        <v>45365</v>
      </c>
      <c r="C233" s="5">
        <v>466126</v>
      </c>
      <c r="D233" s="5" t="s">
        <v>96</v>
      </c>
      <c r="E233" s="5">
        <v>6</v>
      </c>
      <c r="F233" s="32" t="s">
        <v>365</v>
      </c>
      <c r="H233" s="17"/>
    </row>
    <row r="234" spans="1:8">
      <c r="A234" s="5">
        <v>151</v>
      </c>
      <c r="B234" s="15">
        <v>45357</v>
      </c>
      <c r="C234" s="5">
        <v>443480</v>
      </c>
      <c r="D234" s="5" t="s">
        <v>94</v>
      </c>
      <c r="E234" s="5">
        <v>24</v>
      </c>
      <c r="F234" s="32" t="s">
        <v>366</v>
      </c>
      <c r="H234" s="17"/>
    </row>
    <row r="235" spans="1:8">
      <c r="A235" s="5">
        <v>153</v>
      </c>
      <c r="B235" s="15">
        <v>45323</v>
      </c>
      <c r="C235" s="5">
        <v>688897</v>
      </c>
      <c r="D235" s="5" t="s">
        <v>91</v>
      </c>
      <c r="E235" s="5">
        <v>46</v>
      </c>
      <c r="F235" s="32" t="s">
        <v>367</v>
      </c>
      <c r="H235" s="17"/>
    </row>
    <row r="236" spans="1:8">
      <c r="A236" s="5">
        <v>195</v>
      </c>
      <c r="B236" s="15">
        <v>45378</v>
      </c>
      <c r="C236" s="5">
        <v>466126</v>
      </c>
      <c r="D236" s="5" t="s">
        <v>94</v>
      </c>
      <c r="E236" s="5">
        <v>26</v>
      </c>
      <c r="F236" s="32" t="s">
        <v>368</v>
      </c>
      <c r="H236" s="17"/>
    </row>
    <row r="237" spans="1:8">
      <c r="A237" s="5">
        <v>153</v>
      </c>
      <c r="B237" s="15">
        <v>45350</v>
      </c>
      <c r="C237" s="5">
        <v>688897</v>
      </c>
      <c r="D237" s="5" t="s">
        <v>86</v>
      </c>
      <c r="E237" s="5">
        <v>8</v>
      </c>
      <c r="F237" s="32" t="s">
        <v>369</v>
      </c>
      <c r="H237" s="17"/>
    </row>
    <row r="238" spans="1:8">
      <c r="A238" s="5">
        <v>195</v>
      </c>
      <c r="B238" s="15">
        <v>45352</v>
      </c>
      <c r="C238" s="5">
        <v>466126</v>
      </c>
      <c r="D238" s="5" t="s">
        <v>84</v>
      </c>
      <c r="E238" s="5">
        <v>49</v>
      </c>
      <c r="F238" s="32" t="s">
        <v>370</v>
      </c>
      <c r="H238" s="17"/>
    </row>
    <row r="239" spans="1:8">
      <c r="A239" s="5">
        <v>153</v>
      </c>
      <c r="B239" s="15">
        <v>45296</v>
      </c>
      <c r="C239" s="5">
        <v>688897</v>
      </c>
      <c r="D239" s="5" t="s">
        <v>100</v>
      </c>
      <c r="E239" s="5">
        <v>14</v>
      </c>
      <c r="F239" s="32" t="s">
        <v>371</v>
      </c>
      <c r="H239" s="17"/>
    </row>
    <row r="240" spans="1:8">
      <c r="A240" s="5">
        <v>157</v>
      </c>
      <c r="B240" s="15">
        <v>45349</v>
      </c>
      <c r="C240" s="5">
        <v>688897</v>
      </c>
      <c r="D240" s="5" t="s">
        <v>103</v>
      </c>
      <c r="E240" s="5">
        <v>42</v>
      </c>
      <c r="F240" s="32" t="s">
        <v>372</v>
      </c>
      <c r="H240" s="17"/>
    </row>
    <row r="241" spans="1:8">
      <c r="A241" s="5">
        <v>163</v>
      </c>
      <c r="B241" s="15">
        <v>45367</v>
      </c>
      <c r="C241" s="5">
        <v>443480</v>
      </c>
      <c r="D241" s="5" t="s">
        <v>82</v>
      </c>
      <c r="E241" s="5">
        <v>44</v>
      </c>
      <c r="F241" s="32" t="s">
        <v>373</v>
      </c>
      <c r="H241" s="17"/>
    </row>
    <row r="242" spans="1:8">
      <c r="A242" s="5">
        <v>153</v>
      </c>
      <c r="B242" s="15">
        <v>45341</v>
      </c>
      <c r="C242" s="5">
        <v>688897</v>
      </c>
      <c r="D242" s="5" t="s">
        <v>78</v>
      </c>
      <c r="E242" s="5">
        <v>50</v>
      </c>
      <c r="F242" s="32" t="s">
        <v>374</v>
      </c>
      <c r="H242" s="17"/>
    </row>
    <row r="243" spans="1:8">
      <c r="A243" s="5">
        <v>186</v>
      </c>
      <c r="B243" s="15">
        <v>45350</v>
      </c>
      <c r="C243" s="5">
        <v>243994</v>
      </c>
      <c r="D243" s="5" t="s">
        <v>91</v>
      </c>
      <c r="E243" s="5">
        <v>40</v>
      </c>
      <c r="F243" s="32" t="s">
        <v>375</v>
      </c>
      <c r="H243" s="17"/>
    </row>
    <row r="244" spans="1:8">
      <c r="A244" s="5">
        <v>108</v>
      </c>
      <c r="B244" s="15">
        <v>45318</v>
      </c>
      <c r="C244" s="5">
        <v>466126</v>
      </c>
      <c r="D244" s="5" t="s">
        <v>82</v>
      </c>
      <c r="E244" s="5">
        <v>43</v>
      </c>
      <c r="F244" s="32" t="s">
        <v>376</v>
      </c>
      <c r="H244" s="17"/>
    </row>
    <row r="245" spans="1:8">
      <c r="A245" s="5">
        <v>151</v>
      </c>
      <c r="B245" s="15">
        <v>45361</v>
      </c>
      <c r="C245" s="5">
        <v>443480</v>
      </c>
      <c r="D245" s="5" t="s">
        <v>84</v>
      </c>
      <c r="E245" s="5">
        <v>12</v>
      </c>
      <c r="F245" s="32" t="s">
        <v>377</v>
      </c>
      <c r="H245" s="17"/>
    </row>
    <row r="246" spans="1:8">
      <c r="A246" s="5">
        <v>163</v>
      </c>
      <c r="B246" s="15">
        <v>45303</v>
      </c>
      <c r="C246" s="5">
        <v>443480</v>
      </c>
      <c r="D246" s="5" t="s">
        <v>91</v>
      </c>
      <c r="E246" s="5">
        <v>39</v>
      </c>
      <c r="F246" s="32" t="s">
        <v>378</v>
      </c>
      <c r="H246" s="17"/>
    </row>
    <row r="247" spans="1:8">
      <c r="A247" s="5">
        <v>151</v>
      </c>
      <c r="B247" s="15">
        <v>45306</v>
      </c>
      <c r="C247" s="5">
        <v>443480</v>
      </c>
      <c r="D247" s="5" t="s">
        <v>84</v>
      </c>
      <c r="E247" s="5">
        <v>24</v>
      </c>
      <c r="F247" s="32" t="s">
        <v>379</v>
      </c>
      <c r="H247" s="17"/>
    </row>
    <row r="248" spans="1:8">
      <c r="A248" s="5">
        <v>127</v>
      </c>
      <c r="B248" s="15">
        <v>45346</v>
      </c>
      <c r="C248" s="5">
        <v>171444</v>
      </c>
      <c r="D248" s="5" t="s">
        <v>91</v>
      </c>
      <c r="E248" s="5">
        <v>14</v>
      </c>
      <c r="F248" s="32" t="s">
        <v>380</v>
      </c>
      <c r="H248" s="17"/>
    </row>
    <row r="249" spans="1:8">
      <c r="A249" s="5">
        <v>163</v>
      </c>
      <c r="B249" s="15">
        <v>45351</v>
      </c>
      <c r="C249" s="5">
        <v>443480</v>
      </c>
      <c r="D249" s="5" t="s">
        <v>91</v>
      </c>
      <c r="E249" s="5">
        <v>9</v>
      </c>
      <c r="F249" s="32" t="s">
        <v>381</v>
      </c>
      <c r="H249" s="17"/>
    </row>
    <row r="250" spans="1:8">
      <c r="A250" s="5">
        <v>157</v>
      </c>
      <c r="B250" s="15">
        <v>45328</v>
      </c>
      <c r="C250" s="5">
        <v>688897</v>
      </c>
      <c r="D250" s="5" t="s">
        <v>80</v>
      </c>
      <c r="E250" s="5">
        <v>13</v>
      </c>
      <c r="F250" s="32" t="s">
        <v>382</v>
      </c>
      <c r="H250" s="17"/>
    </row>
    <row r="251" spans="1:8">
      <c r="A251" s="5">
        <v>151</v>
      </c>
      <c r="B251" s="15">
        <v>45322</v>
      </c>
      <c r="C251" s="5">
        <v>443480</v>
      </c>
      <c r="D251" s="5" t="s">
        <v>98</v>
      </c>
      <c r="E251" s="5">
        <v>8</v>
      </c>
      <c r="F251" s="32" t="s">
        <v>383</v>
      </c>
      <c r="H251" s="17"/>
    </row>
    <row r="252" spans="1:8">
      <c r="A252" s="5">
        <v>108</v>
      </c>
      <c r="B252" s="15">
        <v>45293</v>
      </c>
      <c r="C252" s="5">
        <v>466126</v>
      </c>
      <c r="D252" s="5" t="s">
        <v>86</v>
      </c>
      <c r="E252" s="5">
        <v>16</v>
      </c>
      <c r="F252" s="32" t="s">
        <v>384</v>
      </c>
      <c r="H252" s="17"/>
    </row>
    <row r="253" spans="1:8">
      <c r="A253" s="5">
        <v>163</v>
      </c>
      <c r="B253" s="15">
        <v>45346</v>
      </c>
      <c r="C253" s="5">
        <v>443480</v>
      </c>
      <c r="D253" s="5" t="s">
        <v>96</v>
      </c>
      <c r="E253" s="5">
        <v>2</v>
      </c>
      <c r="F253" s="32" t="s">
        <v>385</v>
      </c>
      <c r="H253" s="17"/>
    </row>
    <row r="254" spans="1:8">
      <c r="A254" s="5">
        <v>151</v>
      </c>
      <c r="B254" s="15">
        <v>45336</v>
      </c>
      <c r="C254" s="5">
        <v>443480</v>
      </c>
      <c r="D254" s="5" t="s">
        <v>84</v>
      </c>
      <c r="E254" s="5">
        <v>8</v>
      </c>
      <c r="F254" s="32" t="s">
        <v>386</v>
      </c>
      <c r="H254" s="17"/>
    </row>
    <row r="255" spans="1:8">
      <c r="A255" s="5">
        <v>151</v>
      </c>
      <c r="B255" s="15">
        <v>45321</v>
      </c>
      <c r="C255" s="5">
        <v>443480</v>
      </c>
      <c r="D255" s="5" t="s">
        <v>98</v>
      </c>
      <c r="E255" s="5">
        <v>39</v>
      </c>
      <c r="F255" s="32" t="s">
        <v>387</v>
      </c>
      <c r="H255" s="17"/>
    </row>
    <row r="256" spans="1:8">
      <c r="A256" s="5">
        <v>153</v>
      </c>
      <c r="B256" s="15">
        <v>45379</v>
      </c>
      <c r="C256" s="5">
        <v>688897</v>
      </c>
      <c r="D256" s="5" t="s">
        <v>91</v>
      </c>
      <c r="E256" s="5">
        <v>47</v>
      </c>
      <c r="F256" s="32" t="s">
        <v>388</v>
      </c>
      <c r="H256" s="17"/>
    </row>
    <row r="257" spans="1:8">
      <c r="A257" s="5">
        <v>127</v>
      </c>
      <c r="B257" s="15">
        <v>45379</v>
      </c>
      <c r="C257" s="5">
        <v>171444</v>
      </c>
      <c r="D257" s="5" t="s">
        <v>82</v>
      </c>
      <c r="E257" s="5">
        <v>26</v>
      </c>
      <c r="F257" s="32" t="s">
        <v>389</v>
      </c>
      <c r="H257" s="17"/>
    </row>
    <row r="258" spans="1:8">
      <c r="A258" s="5">
        <v>186</v>
      </c>
      <c r="B258" s="15">
        <v>45363</v>
      </c>
      <c r="C258" s="5">
        <v>243994</v>
      </c>
      <c r="D258" s="5" t="s">
        <v>96</v>
      </c>
      <c r="E258" s="5">
        <v>29</v>
      </c>
      <c r="F258" s="32" t="s">
        <v>390</v>
      </c>
      <c r="H258" s="17"/>
    </row>
    <row r="259" spans="1:8">
      <c r="A259" s="5">
        <v>157</v>
      </c>
      <c r="B259" s="15">
        <v>45359</v>
      </c>
      <c r="C259" s="5">
        <v>688897</v>
      </c>
      <c r="D259" s="5" t="s">
        <v>89</v>
      </c>
      <c r="E259" s="5">
        <v>25</v>
      </c>
      <c r="F259" s="32" t="s">
        <v>391</v>
      </c>
      <c r="H259" s="17"/>
    </row>
    <row r="260" spans="1:8">
      <c r="A260" s="5">
        <v>152</v>
      </c>
      <c r="B260" s="15">
        <v>45360</v>
      </c>
      <c r="C260" s="5">
        <v>171444</v>
      </c>
      <c r="D260" s="5" t="s">
        <v>89</v>
      </c>
      <c r="E260" s="5">
        <v>3</v>
      </c>
      <c r="F260" s="32" t="s">
        <v>392</v>
      </c>
      <c r="H260" s="17"/>
    </row>
    <row r="261" spans="1:8">
      <c r="A261" s="5">
        <v>179</v>
      </c>
      <c r="B261" s="15">
        <v>45350</v>
      </c>
      <c r="C261" s="5">
        <v>243994</v>
      </c>
      <c r="D261" s="5" t="s">
        <v>75</v>
      </c>
      <c r="E261" s="5">
        <v>11</v>
      </c>
      <c r="F261" s="32" t="s">
        <v>393</v>
      </c>
      <c r="H261" s="17"/>
    </row>
    <row r="262" spans="1:8">
      <c r="A262" s="5">
        <v>186</v>
      </c>
      <c r="B262" s="15">
        <v>45292</v>
      </c>
      <c r="C262" s="5">
        <v>243994</v>
      </c>
      <c r="D262" s="5" t="s">
        <v>91</v>
      </c>
      <c r="E262" s="5">
        <v>29</v>
      </c>
      <c r="F262" s="32" t="s">
        <v>394</v>
      </c>
      <c r="H262" s="17"/>
    </row>
    <row r="263" spans="1:8">
      <c r="A263" s="5">
        <v>186</v>
      </c>
      <c r="B263" s="15">
        <v>45300</v>
      </c>
      <c r="C263" s="5">
        <v>243994</v>
      </c>
      <c r="D263" s="5" t="s">
        <v>100</v>
      </c>
      <c r="E263" s="5">
        <v>33</v>
      </c>
      <c r="F263" s="32" t="s">
        <v>395</v>
      </c>
      <c r="H263" s="17"/>
    </row>
    <row r="264" spans="1:8">
      <c r="A264" s="5">
        <v>157</v>
      </c>
      <c r="B264" s="15">
        <v>45357</v>
      </c>
      <c r="C264" s="5">
        <v>688897</v>
      </c>
      <c r="D264" s="5" t="s">
        <v>94</v>
      </c>
      <c r="E264" s="5">
        <v>50</v>
      </c>
      <c r="F264" s="32" t="s">
        <v>396</v>
      </c>
      <c r="H264" s="17"/>
    </row>
    <row r="265" spans="1:8">
      <c r="A265" s="5">
        <v>152</v>
      </c>
      <c r="B265" s="15">
        <v>45363</v>
      </c>
      <c r="C265" s="5">
        <v>171444</v>
      </c>
      <c r="D265" s="5" t="s">
        <v>84</v>
      </c>
      <c r="E265" s="5">
        <v>48</v>
      </c>
      <c r="F265" s="32" t="s">
        <v>397</v>
      </c>
      <c r="H265" s="17"/>
    </row>
    <row r="266" spans="1:8">
      <c r="A266" s="5">
        <v>179</v>
      </c>
      <c r="B266" s="15">
        <v>45308</v>
      </c>
      <c r="C266" s="5">
        <v>243994</v>
      </c>
      <c r="D266" s="5" t="s">
        <v>89</v>
      </c>
      <c r="E266" s="5">
        <v>5</v>
      </c>
      <c r="F266" s="32" t="s">
        <v>398</v>
      </c>
      <c r="H266" s="17"/>
    </row>
    <row r="267" spans="1:8">
      <c r="A267" s="5">
        <v>151</v>
      </c>
      <c r="B267" s="15">
        <v>45341</v>
      </c>
      <c r="C267" s="5">
        <v>443480</v>
      </c>
      <c r="D267" s="5" t="s">
        <v>94</v>
      </c>
      <c r="E267" s="5">
        <v>39</v>
      </c>
      <c r="F267" s="32" t="s">
        <v>399</v>
      </c>
      <c r="H267" s="17"/>
    </row>
    <row r="268" spans="1:8">
      <c r="A268" s="5">
        <v>127</v>
      </c>
      <c r="B268" s="15">
        <v>45311</v>
      </c>
      <c r="C268" s="5">
        <v>171444</v>
      </c>
      <c r="D268" s="5" t="s">
        <v>100</v>
      </c>
      <c r="E268" s="5">
        <v>41</v>
      </c>
      <c r="F268" s="32" t="s">
        <v>400</v>
      </c>
      <c r="H268" s="17"/>
    </row>
    <row r="269" spans="1:8">
      <c r="A269" s="5">
        <v>127</v>
      </c>
      <c r="B269" s="15">
        <v>45309</v>
      </c>
      <c r="C269" s="5">
        <v>171444</v>
      </c>
      <c r="D269" s="5" t="s">
        <v>86</v>
      </c>
      <c r="E269" s="5">
        <v>39</v>
      </c>
      <c r="F269" s="32" t="s">
        <v>401</v>
      </c>
      <c r="H269" s="17"/>
    </row>
    <row r="270" spans="1:8">
      <c r="A270" s="5">
        <v>157</v>
      </c>
      <c r="B270" s="15">
        <v>45342</v>
      </c>
      <c r="C270" s="5">
        <v>688897</v>
      </c>
      <c r="D270" s="5" t="s">
        <v>98</v>
      </c>
      <c r="E270" s="5">
        <v>5</v>
      </c>
      <c r="F270" s="32" t="s">
        <v>402</v>
      </c>
      <c r="H270" s="17"/>
    </row>
    <row r="271" spans="1:8">
      <c r="A271" s="5">
        <v>179</v>
      </c>
      <c r="B271" s="15">
        <v>45329</v>
      </c>
      <c r="C271" s="5">
        <v>243994</v>
      </c>
      <c r="D271" s="5" t="s">
        <v>84</v>
      </c>
      <c r="E271" s="5">
        <v>40</v>
      </c>
      <c r="F271" s="32" t="s">
        <v>403</v>
      </c>
      <c r="H271" s="17"/>
    </row>
    <row r="272" spans="1:8">
      <c r="A272" s="5">
        <v>151</v>
      </c>
      <c r="B272" s="15">
        <v>45338</v>
      </c>
      <c r="C272" s="5">
        <v>443480</v>
      </c>
      <c r="D272" s="5" t="s">
        <v>80</v>
      </c>
      <c r="E272" s="5">
        <v>12</v>
      </c>
      <c r="F272" s="32" t="s">
        <v>404</v>
      </c>
      <c r="H272" s="17"/>
    </row>
    <row r="273" spans="1:8">
      <c r="A273" s="5">
        <v>108</v>
      </c>
      <c r="B273" s="15">
        <v>45353</v>
      </c>
      <c r="C273" s="5">
        <v>466126</v>
      </c>
      <c r="D273" s="5" t="s">
        <v>91</v>
      </c>
      <c r="E273" s="5">
        <v>10</v>
      </c>
      <c r="F273" s="32" t="s">
        <v>405</v>
      </c>
      <c r="H273" s="17"/>
    </row>
    <row r="274" spans="1:8">
      <c r="A274" s="5">
        <v>108</v>
      </c>
      <c r="B274" s="15">
        <v>45295</v>
      </c>
      <c r="C274" s="5">
        <v>466126</v>
      </c>
      <c r="D274" s="5" t="s">
        <v>82</v>
      </c>
      <c r="E274" s="5">
        <v>39</v>
      </c>
      <c r="F274" s="32" t="s">
        <v>406</v>
      </c>
      <c r="H274" s="17"/>
    </row>
    <row r="275" spans="1:8">
      <c r="A275" s="5">
        <v>163</v>
      </c>
      <c r="B275" s="15">
        <v>45344</v>
      </c>
      <c r="C275" s="5">
        <v>443480</v>
      </c>
      <c r="D275" s="5" t="s">
        <v>100</v>
      </c>
      <c r="E275" s="5">
        <v>14</v>
      </c>
      <c r="F275" s="32" t="s">
        <v>407</v>
      </c>
      <c r="H275" s="17"/>
    </row>
    <row r="276" spans="1:8">
      <c r="A276" s="5">
        <v>127</v>
      </c>
      <c r="B276" s="15">
        <v>45330</v>
      </c>
      <c r="C276" s="5">
        <v>171444</v>
      </c>
      <c r="D276" s="5" t="s">
        <v>96</v>
      </c>
      <c r="E276" s="5">
        <v>42</v>
      </c>
      <c r="F276" s="32" t="s">
        <v>408</v>
      </c>
      <c r="H276" s="17"/>
    </row>
    <row r="277" spans="1:8">
      <c r="A277" s="5">
        <v>195</v>
      </c>
      <c r="B277" s="15">
        <v>45331</v>
      </c>
      <c r="C277" s="5">
        <v>466126</v>
      </c>
      <c r="D277" s="5" t="s">
        <v>75</v>
      </c>
      <c r="E277" s="5">
        <v>9</v>
      </c>
      <c r="F277" s="32" t="s">
        <v>409</v>
      </c>
      <c r="H277" s="17"/>
    </row>
    <row r="278" spans="1:8">
      <c r="A278" s="5">
        <v>108</v>
      </c>
      <c r="B278" s="15">
        <v>45339</v>
      </c>
      <c r="C278" s="5">
        <v>466126</v>
      </c>
      <c r="D278" s="5" t="s">
        <v>100</v>
      </c>
      <c r="E278" s="5">
        <v>3</v>
      </c>
      <c r="F278" s="32" t="s">
        <v>410</v>
      </c>
      <c r="H278" s="17"/>
    </row>
    <row r="279" spans="1:8">
      <c r="A279" s="5">
        <v>127</v>
      </c>
      <c r="B279" s="15">
        <v>45316</v>
      </c>
      <c r="C279" s="5">
        <v>171444</v>
      </c>
      <c r="D279" s="5" t="s">
        <v>82</v>
      </c>
      <c r="E279" s="5">
        <v>48</v>
      </c>
      <c r="F279" s="32" t="s">
        <v>411</v>
      </c>
      <c r="H279" s="17"/>
    </row>
    <row r="280" spans="1:8">
      <c r="A280" s="5">
        <v>186</v>
      </c>
      <c r="B280" s="15">
        <v>45356</v>
      </c>
      <c r="C280" s="5">
        <v>243994</v>
      </c>
      <c r="D280" s="5" t="s">
        <v>100</v>
      </c>
      <c r="E280" s="5">
        <v>46</v>
      </c>
      <c r="F280" s="32" t="s">
        <v>412</v>
      </c>
      <c r="H280" s="17"/>
    </row>
    <row r="281" spans="1:8">
      <c r="A281" s="5">
        <v>163</v>
      </c>
      <c r="B281" s="15">
        <v>45297</v>
      </c>
      <c r="C281" s="5">
        <v>443480</v>
      </c>
      <c r="D281" s="5" t="s">
        <v>82</v>
      </c>
      <c r="E281" s="5">
        <v>34</v>
      </c>
      <c r="F281" s="32" t="s">
        <v>413</v>
      </c>
      <c r="H281" s="17"/>
    </row>
    <row r="282" spans="1:8">
      <c r="A282" s="5">
        <v>186</v>
      </c>
      <c r="B282" s="15">
        <v>45338</v>
      </c>
      <c r="C282" s="5">
        <v>243994</v>
      </c>
      <c r="D282" s="5" t="s">
        <v>91</v>
      </c>
      <c r="E282" s="5">
        <v>33</v>
      </c>
      <c r="F282" s="32" t="s">
        <v>414</v>
      </c>
      <c r="H282" s="17"/>
    </row>
    <row r="283" spans="1:8">
      <c r="A283" s="5">
        <v>195</v>
      </c>
      <c r="B283" s="15">
        <v>45361</v>
      </c>
      <c r="C283" s="5">
        <v>466126</v>
      </c>
      <c r="D283" s="5" t="s">
        <v>80</v>
      </c>
      <c r="E283" s="5">
        <v>12</v>
      </c>
      <c r="F283" s="32" t="s">
        <v>415</v>
      </c>
      <c r="H283" s="17"/>
    </row>
    <row r="284" spans="1:8">
      <c r="A284" s="5">
        <v>179</v>
      </c>
      <c r="B284" s="15">
        <v>45308</v>
      </c>
      <c r="C284" s="5">
        <v>243994</v>
      </c>
      <c r="D284" s="5" t="s">
        <v>103</v>
      </c>
      <c r="E284" s="5">
        <v>6</v>
      </c>
      <c r="F284" s="32" t="s">
        <v>416</v>
      </c>
      <c r="H284" s="17"/>
    </row>
    <row r="285" spans="1:8">
      <c r="A285" s="5">
        <v>163</v>
      </c>
      <c r="B285" s="15">
        <v>45334</v>
      </c>
      <c r="C285" s="5">
        <v>443480</v>
      </c>
      <c r="D285" s="5" t="s">
        <v>100</v>
      </c>
      <c r="E285" s="5">
        <v>40</v>
      </c>
      <c r="F285" s="32" t="s">
        <v>417</v>
      </c>
      <c r="H285" s="17"/>
    </row>
    <row r="286" spans="1:8">
      <c r="A286" s="5">
        <v>163</v>
      </c>
      <c r="B286" s="15">
        <v>45319</v>
      </c>
      <c r="C286" s="5">
        <v>443480</v>
      </c>
      <c r="D286" s="5" t="s">
        <v>86</v>
      </c>
      <c r="E286" s="5">
        <v>5</v>
      </c>
      <c r="F286" s="32" t="s">
        <v>418</v>
      </c>
      <c r="H286" s="17"/>
    </row>
    <row r="287" spans="1:8">
      <c r="A287" s="5">
        <v>179</v>
      </c>
      <c r="B287" s="15">
        <v>45359</v>
      </c>
      <c r="C287" s="5">
        <v>243994</v>
      </c>
      <c r="D287" s="5" t="s">
        <v>84</v>
      </c>
      <c r="E287" s="5">
        <v>13</v>
      </c>
      <c r="F287" s="32" t="s">
        <v>419</v>
      </c>
      <c r="H287" s="17"/>
    </row>
    <row r="288" spans="1:8">
      <c r="A288" s="5">
        <v>186</v>
      </c>
      <c r="B288" s="15">
        <v>45303</v>
      </c>
      <c r="C288" s="5">
        <v>171444</v>
      </c>
      <c r="D288" s="5" t="s">
        <v>96</v>
      </c>
      <c r="E288" s="5">
        <v>42</v>
      </c>
      <c r="F288" s="32" t="s">
        <v>420</v>
      </c>
      <c r="H288" s="17"/>
    </row>
    <row r="289" spans="1:8">
      <c r="A289" s="5">
        <v>152</v>
      </c>
      <c r="B289" s="15">
        <v>45373</v>
      </c>
      <c r="C289" s="5">
        <v>171444</v>
      </c>
      <c r="D289" s="5" t="s">
        <v>84</v>
      </c>
      <c r="E289" s="5">
        <v>45</v>
      </c>
      <c r="F289" s="32" t="s">
        <v>421</v>
      </c>
      <c r="H289" s="17"/>
    </row>
    <row r="290" spans="1:8">
      <c r="A290" s="5">
        <v>153</v>
      </c>
      <c r="B290" s="15">
        <v>45352</v>
      </c>
      <c r="C290" s="5">
        <v>688897</v>
      </c>
      <c r="D290" s="5" t="s">
        <v>91</v>
      </c>
      <c r="E290" s="5">
        <v>48</v>
      </c>
      <c r="F290" s="32" t="s">
        <v>422</v>
      </c>
      <c r="H290" s="17"/>
    </row>
    <row r="291" spans="1:8">
      <c r="A291" s="5">
        <v>195</v>
      </c>
      <c r="B291" s="15">
        <v>45295</v>
      </c>
      <c r="C291" s="5">
        <v>466126</v>
      </c>
      <c r="D291" s="5" t="s">
        <v>103</v>
      </c>
      <c r="E291" s="5">
        <v>12</v>
      </c>
      <c r="F291" s="32" t="s">
        <v>423</v>
      </c>
      <c r="H291" s="17"/>
    </row>
    <row r="292" spans="1:8">
      <c r="A292" s="5">
        <v>195</v>
      </c>
      <c r="B292" s="15">
        <v>45317</v>
      </c>
      <c r="C292" s="5">
        <v>466126</v>
      </c>
      <c r="D292" s="5" t="s">
        <v>89</v>
      </c>
      <c r="E292" s="5">
        <v>48</v>
      </c>
      <c r="F292" s="32" t="s">
        <v>424</v>
      </c>
      <c r="H292" s="17"/>
    </row>
    <row r="293" spans="1:8">
      <c r="A293" s="5">
        <v>163</v>
      </c>
      <c r="B293" s="15">
        <v>45345</v>
      </c>
      <c r="C293" s="5">
        <v>443480</v>
      </c>
      <c r="D293" s="5" t="s">
        <v>96</v>
      </c>
      <c r="E293" s="5">
        <v>39</v>
      </c>
      <c r="F293" s="32" t="s">
        <v>425</v>
      </c>
      <c r="H293" s="17"/>
    </row>
    <row r="294" spans="1:8">
      <c r="A294" s="5">
        <v>186</v>
      </c>
      <c r="B294" s="15">
        <v>45336</v>
      </c>
      <c r="C294" s="5">
        <v>243994</v>
      </c>
      <c r="D294" s="5" t="s">
        <v>91</v>
      </c>
      <c r="E294" s="5">
        <v>49</v>
      </c>
      <c r="F294" s="32" t="s">
        <v>426</v>
      </c>
      <c r="H294" s="17"/>
    </row>
    <row r="295" spans="1:8">
      <c r="A295" s="5">
        <v>108</v>
      </c>
      <c r="B295" s="15">
        <v>45339</v>
      </c>
      <c r="C295" s="5">
        <v>466126</v>
      </c>
      <c r="D295" s="5" t="s">
        <v>96</v>
      </c>
      <c r="E295" s="5">
        <v>29</v>
      </c>
      <c r="F295" s="32" t="s">
        <v>427</v>
      </c>
      <c r="H295" s="17"/>
    </row>
    <row r="296" spans="1:8">
      <c r="A296" s="5">
        <v>127</v>
      </c>
      <c r="B296" s="15">
        <v>45331</v>
      </c>
      <c r="C296" s="5">
        <v>171444</v>
      </c>
      <c r="D296" s="5" t="s">
        <v>82</v>
      </c>
      <c r="E296" s="5">
        <v>50</v>
      </c>
      <c r="F296" s="32" t="s">
        <v>428</v>
      </c>
      <c r="H296" s="17"/>
    </row>
    <row r="297" spans="1:8">
      <c r="A297" s="5">
        <v>151</v>
      </c>
      <c r="B297" s="15">
        <v>45355</v>
      </c>
      <c r="C297" s="5">
        <v>443480</v>
      </c>
      <c r="D297" s="5" t="s">
        <v>89</v>
      </c>
      <c r="E297" s="5">
        <v>43</v>
      </c>
      <c r="F297" s="32" t="s">
        <v>429</v>
      </c>
      <c r="H297" s="17"/>
    </row>
    <row r="298" spans="1:8">
      <c r="F298" s="30"/>
      <c r="H298" s="17"/>
    </row>
    <row r="299" spans="1:8">
      <c r="F299" s="30"/>
      <c r="H299" s="17"/>
    </row>
    <row r="300" spans="1:8">
      <c r="F300" s="30"/>
      <c r="H300" s="17"/>
    </row>
    <row r="301" spans="1:8">
      <c r="F301" s="30"/>
      <c r="H301" s="17"/>
    </row>
    <row r="302" spans="1:8">
      <c r="F302" s="30"/>
      <c r="H302" s="17"/>
    </row>
    <row r="303" spans="1:8">
      <c r="F303" s="30"/>
    </row>
    <row r="304" spans="1:8">
      <c r="F304" s="30"/>
    </row>
    <row r="305" spans="6:6">
      <c r="F305" s="30"/>
    </row>
    <row r="306" spans="6:6">
      <c r="F306" s="30"/>
    </row>
    <row r="307" spans="6:6">
      <c r="F307" s="30"/>
    </row>
    <row r="308" spans="6:6">
      <c r="F308" s="30"/>
    </row>
    <row r="309" spans="6:6">
      <c r="F309" s="30"/>
    </row>
    <row r="310" spans="6:6">
      <c r="F310" s="30"/>
    </row>
    <row r="311" spans="6:6">
      <c r="F311" s="30"/>
    </row>
    <row r="312" spans="6:6">
      <c r="F312" s="30"/>
    </row>
    <row r="313" spans="6:6">
      <c r="F313" s="30"/>
    </row>
    <row r="314" spans="6:6">
      <c r="F314" s="30"/>
    </row>
    <row r="315" spans="6:6">
      <c r="F315" s="30"/>
    </row>
    <row r="316" spans="6:6">
      <c r="F316" s="30"/>
    </row>
    <row r="317" spans="6:6">
      <c r="F317" s="30"/>
    </row>
    <row r="318" spans="6:6">
      <c r="F318" s="30"/>
    </row>
    <row r="319" spans="6:6">
      <c r="F319" s="30"/>
    </row>
    <row r="320" spans="6:6">
      <c r="F320" s="30"/>
    </row>
    <row r="321" spans="6:6">
      <c r="F321" s="30"/>
    </row>
    <row r="322" spans="6:6">
      <c r="F322" s="30"/>
    </row>
    <row r="323" spans="6:6">
      <c r="F323" s="30"/>
    </row>
    <row r="324" spans="6:6">
      <c r="F324" s="30"/>
    </row>
    <row r="325" spans="6:6">
      <c r="F325" s="30"/>
    </row>
    <row r="326" spans="6:6">
      <c r="F326" s="30"/>
    </row>
    <row r="327" spans="6:6">
      <c r="F327" s="30"/>
    </row>
    <row r="328" spans="6:6">
      <c r="F328" s="30"/>
    </row>
    <row r="329" spans="6:6">
      <c r="F329" s="30"/>
    </row>
    <row r="330" spans="6:6">
      <c r="F330" s="30"/>
    </row>
    <row r="331" spans="6:6">
      <c r="F331" s="30"/>
    </row>
    <row r="332" spans="6:6">
      <c r="F332" s="30"/>
    </row>
    <row r="333" spans="6:6">
      <c r="F333" s="30"/>
    </row>
    <row r="334" spans="6:6">
      <c r="F334" s="30"/>
    </row>
    <row r="335" spans="6:6">
      <c r="F335" s="30"/>
    </row>
    <row r="336" spans="6:6">
      <c r="F336" s="30"/>
    </row>
    <row r="337" spans="6:6">
      <c r="F337" s="30"/>
    </row>
    <row r="338" spans="6:6">
      <c r="F338" s="30"/>
    </row>
    <row r="339" spans="6:6">
      <c r="F339" s="30"/>
    </row>
    <row r="340" spans="6:6">
      <c r="F340" s="30"/>
    </row>
    <row r="341" spans="6:6">
      <c r="F341" s="30"/>
    </row>
    <row r="342" spans="6:6">
      <c r="F342" s="30"/>
    </row>
    <row r="343" spans="6:6">
      <c r="F343" s="30"/>
    </row>
    <row r="344" spans="6:6">
      <c r="F344" s="30"/>
    </row>
    <row r="345" spans="6:6">
      <c r="F345" s="30"/>
    </row>
    <row r="346" spans="6:6">
      <c r="F346" s="30"/>
    </row>
    <row r="347" spans="6:6">
      <c r="F347" s="30"/>
    </row>
    <row r="348" spans="6:6">
      <c r="F348" s="30"/>
    </row>
    <row r="349" spans="6:6">
      <c r="F349" s="30"/>
    </row>
    <row r="350" spans="6:6">
      <c r="F350" s="30"/>
    </row>
    <row r="351" spans="6:6">
      <c r="F351" s="30"/>
    </row>
    <row r="352" spans="6:6">
      <c r="F352" s="30"/>
    </row>
    <row r="353" spans="6:6">
      <c r="F353" s="30"/>
    </row>
    <row r="354" spans="6:6">
      <c r="F354" s="30"/>
    </row>
    <row r="355" spans="6:6">
      <c r="F355" s="30"/>
    </row>
    <row r="356" spans="6:6">
      <c r="F356" s="30"/>
    </row>
    <row r="357" spans="6:6">
      <c r="F357" s="30"/>
    </row>
    <row r="358" spans="6:6">
      <c r="F358" s="30"/>
    </row>
    <row r="359" spans="6:6">
      <c r="F359" s="30"/>
    </row>
    <row r="360" spans="6:6">
      <c r="F360" s="30"/>
    </row>
    <row r="361" spans="6:6">
      <c r="F361" s="30"/>
    </row>
    <row r="362" spans="6:6">
      <c r="F362" s="30"/>
    </row>
    <row r="363" spans="6:6">
      <c r="F363" s="30"/>
    </row>
    <row r="364" spans="6:6">
      <c r="F364" s="30"/>
    </row>
    <row r="365" spans="6:6">
      <c r="F365" s="30"/>
    </row>
    <row r="366" spans="6:6">
      <c r="F366" s="30"/>
    </row>
    <row r="367" spans="6:6">
      <c r="F367" s="30"/>
    </row>
    <row r="368" spans="6:6">
      <c r="F368" s="30"/>
    </row>
    <row r="369" spans="6:6">
      <c r="F369" s="30"/>
    </row>
    <row r="370" spans="6:6">
      <c r="F370" s="30"/>
    </row>
    <row r="371" spans="6:6">
      <c r="F371" s="30"/>
    </row>
    <row r="372" spans="6:6">
      <c r="F372" s="30"/>
    </row>
    <row r="373" spans="6:6">
      <c r="F373" s="30"/>
    </row>
    <row r="374" spans="6:6">
      <c r="F374" s="30"/>
    </row>
    <row r="375" spans="6:6">
      <c r="F375" s="30"/>
    </row>
    <row r="376" spans="6:6">
      <c r="F376" s="30"/>
    </row>
    <row r="377" spans="6:6">
      <c r="F377" s="30"/>
    </row>
    <row r="378" spans="6:6">
      <c r="F378" s="30"/>
    </row>
    <row r="379" spans="6:6">
      <c r="F379" s="30"/>
    </row>
    <row r="380" spans="6:6">
      <c r="F380" s="30"/>
    </row>
    <row r="381" spans="6:6">
      <c r="F381" s="30"/>
    </row>
    <row r="382" spans="6:6">
      <c r="F382" s="30"/>
    </row>
  </sheetData>
  <autoFilter ref="A1:F297" xr:uid="{909D8577-EA63-482A-A2C7-E407101BE567}"/>
  <sortState xmlns:xlrd2="http://schemas.microsoft.com/office/spreadsheetml/2017/richdata2" ref="A2:E297">
    <sortCondition ref="E2:E297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6849-F559-4F78-919C-2CA1A8160EFE}">
  <dimension ref="A1:L297"/>
  <sheetViews>
    <sheetView tabSelected="1" workbookViewId="0">
      <selection activeCell="M11" sqref="M11"/>
    </sheetView>
  </sheetViews>
  <sheetFormatPr defaultRowHeight="14.4"/>
  <cols>
    <col min="1" max="1" width="9.44140625" bestFit="1" customWidth="1"/>
    <col min="2" max="2" width="15.109375" bestFit="1" customWidth="1"/>
    <col min="4" max="4" width="13.6640625" bestFit="1" customWidth="1"/>
    <col min="5" max="5" width="21.33203125" bestFit="1" customWidth="1"/>
    <col min="6" max="6" width="11" bestFit="1" customWidth="1"/>
    <col min="7" max="7" width="22.6640625" bestFit="1" customWidth="1"/>
    <col min="8" max="8" width="17.21875" bestFit="1" customWidth="1"/>
    <col min="9" max="9" width="20.109375" bestFit="1" customWidth="1"/>
    <col min="10" max="10" width="20" bestFit="1" customWidth="1"/>
    <col min="11" max="11" width="20.44140625" bestFit="1" customWidth="1"/>
    <col min="12" max="12" width="11.77734375" bestFit="1" customWidth="1"/>
  </cols>
  <sheetData>
    <row r="1" spans="1:12">
      <c r="A1" s="19" t="s">
        <v>128</v>
      </c>
      <c r="B1" s="18" t="s">
        <v>129</v>
      </c>
      <c r="C1" s="20" t="s">
        <v>130</v>
      </c>
      <c r="D1" s="21" t="s">
        <v>131</v>
      </c>
      <c r="E1" s="21" t="s">
        <v>132</v>
      </c>
      <c r="F1" s="33" t="s">
        <v>133</v>
      </c>
      <c r="G1" s="34" t="s">
        <v>68</v>
      </c>
      <c r="H1" s="34" t="s">
        <v>69</v>
      </c>
      <c r="I1" s="34" t="s">
        <v>430</v>
      </c>
      <c r="J1" s="34" t="s">
        <v>431</v>
      </c>
      <c r="K1" s="34" t="s">
        <v>106</v>
      </c>
      <c r="L1" s="34" t="s">
        <v>432</v>
      </c>
    </row>
    <row r="2" spans="1:12">
      <c r="A2" s="5">
        <v>195</v>
      </c>
      <c r="B2" s="15">
        <v>45307</v>
      </c>
      <c r="C2" s="5">
        <v>466126</v>
      </c>
      <c r="D2" s="5" t="s">
        <v>80</v>
      </c>
      <c r="E2" s="5">
        <v>29</v>
      </c>
      <c r="F2" s="32" t="s">
        <v>134</v>
      </c>
      <c r="G2" t="str">
        <f>VLOOKUP(D2,[1]Proizvodi!$A$1:$F$15,2,FALSE)</f>
        <v>Nameštaj za dnevnu sobu</v>
      </c>
      <c r="H2" t="str">
        <f>VLOOKUP(D2,[1]Proizvodi!$A$1:$F$15,3,FALSE)</f>
        <v>Ormarić za TV</v>
      </c>
      <c r="I2" t="s">
        <v>433</v>
      </c>
      <c r="J2" t="str">
        <f>VLOOKUP(A2,[1]Klijenti!$A$1:$F$11,2,FALSE)</f>
        <v>Moderni Dom</v>
      </c>
      <c r="K2" t="str">
        <f>VLOOKUP(A2,[1]Klijenti!$A$1:$F$11,3,FALSE)</f>
        <v>Srbija</v>
      </c>
      <c r="L2">
        <f>SUM([1]Prodaja!E2:E297)</f>
        <v>7762</v>
      </c>
    </row>
    <row r="3" spans="1:12">
      <c r="A3" s="5">
        <v>153</v>
      </c>
      <c r="B3" s="15">
        <v>45308</v>
      </c>
      <c r="C3" s="5">
        <v>443480</v>
      </c>
      <c r="D3" s="5" t="s">
        <v>91</v>
      </c>
      <c r="E3" s="5">
        <v>7</v>
      </c>
      <c r="F3" s="32" t="s">
        <v>135</v>
      </c>
      <c r="G3" t="str">
        <f>VLOOKUP(D3,[1]Proizvodi!$A$1:$F$15,2,FALSE)</f>
        <v>Nameštaj za radnu sobu</v>
      </c>
      <c r="H3" t="str">
        <f>VLOOKUP(D3,[1]Proizvodi!$A$1:$F$15,3,FALSE)</f>
        <v>Radni sto</v>
      </c>
      <c r="I3" t="s">
        <v>434</v>
      </c>
      <c r="J3" t="str">
        <f>VLOOKUP(A3,[1]Klijenti!$A$1:$F$11,2,FALSE)</f>
        <v>Udobni Kutak</v>
      </c>
      <c r="K3" t="str">
        <f>VLOOKUP(A3,[1]Klijenti!$A$1:$F$11,3,FALSE)</f>
        <v>Južni region</v>
      </c>
    </row>
    <row r="4" spans="1:12">
      <c r="A4" s="5">
        <v>153</v>
      </c>
      <c r="B4" s="15">
        <v>45361</v>
      </c>
      <c r="C4" s="5">
        <v>688897</v>
      </c>
      <c r="D4" s="5" t="s">
        <v>78</v>
      </c>
      <c r="E4" s="5">
        <v>12</v>
      </c>
      <c r="F4" s="32" t="s">
        <v>136</v>
      </c>
      <c r="G4" t="str">
        <f>VLOOKUP(D4,[1]Proizvodi!$A$1:$F$15,2,FALSE)</f>
        <v>Nameštaj za dnevnu sobu</v>
      </c>
      <c r="H4" t="str">
        <f>VLOOKUP(D4,[1]Proizvodi!$A$1:$F$15,3,FALSE)</f>
        <v>Rasklopiva fotelja</v>
      </c>
      <c r="I4" t="s">
        <v>435</v>
      </c>
      <c r="J4" t="str">
        <f>VLOOKUP(A4,[1]Klijenti!$A$1:$F$11,2,FALSE)</f>
        <v>Udobni Kutak</v>
      </c>
      <c r="K4" t="str">
        <f>VLOOKUP(A4,[1]Klijenti!$A$1:$F$11,3,FALSE)</f>
        <v>Južni region</v>
      </c>
    </row>
    <row r="5" spans="1:12">
      <c r="A5" s="5">
        <v>153</v>
      </c>
      <c r="B5" s="15">
        <v>45363</v>
      </c>
      <c r="C5" s="5">
        <v>688897</v>
      </c>
      <c r="D5" s="5" t="s">
        <v>96</v>
      </c>
      <c r="E5" s="5">
        <v>34</v>
      </c>
      <c r="F5" s="32" t="s">
        <v>137</v>
      </c>
      <c r="G5" t="str">
        <f>VLOOKUP(D5,[1]Proizvodi!$A$1:$F$15,2,FALSE)</f>
        <v>Nameštaj za dnevnu sobu</v>
      </c>
      <c r="H5" t="str">
        <f>VLOOKUP(D5,[1]Proizvodi!$A$1:$F$15,3,FALSE)</f>
        <v>Ogledalo za zid</v>
      </c>
      <c r="I5" t="s">
        <v>435</v>
      </c>
      <c r="J5" t="str">
        <f>VLOOKUP(A5,[1]Klijenti!$A$1:$F$11,2,FALSE)</f>
        <v>Udobni Kutak</v>
      </c>
      <c r="K5" t="str">
        <f>VLOOKUP(A5,[1]Klijenti!$A$1:$F$11,3,FALSE)</f>
        <v>Južni region</v>
      </c>
    </row>
    <row r="6" spans="1:12">
      <c r="A6" s="5">
        <v>108</v>
      </c>
      <c r="B6" s="15">
        <v>45321</v>
      </c>
      <c r="C6" s="5">
        <v>466126</v>
      </c>
      <c r="D6" s="5" t="s">
        <v>100</v>
      </c>
      <c r="E6" s="5">
        <v>34</v>
      </c>
      <c r="F6" s="32" t="s">
        <v>138</v>
      </c>
      <c r="G6" t="str">
        <f>VLOOKUP(D6,[1]Proizvodi!$A$1:$F$15,2,FALSE)</f>
        <v>Kuhinja</v>
      </c>
      <c r="H6" t="str">
        <f>VLOOKUP(D6,[1]Proizvodi!$A$1:$F$15,3,FALSE)</f>
        <v>Viseća polica</v>
      </c>
      <c r="I6" t="s">
        <v>433</v>
      </c>
      <c r="J6" t="str">
        <f>VLOOKUP(A6,[1]Klijenti!$A$1:$F$11,2,FALSE)</f>
        <v>Dom &amp; Dekor</v>
      </c>
      <c r="K6" t="str">
        <f>VLOOKUP(A6,[1]Klijenti!$A$1:$F$11,3,FALSE)</f>
        <v>Beogradski region</v>
      </c>
    </row>
    <row r="7" spans="1:12">
      <c r="A7" s="5">
        <v>151</v>
      </c>
      <c r="B7" s="15">
        <v>45336</v>
      </c>
      <c r="C7" s="5">
        <v>443480</v>
      </c>
      <c r="D7" s="5" t="s">
        <v>80</v>
      </c>
      <c r="E7" s="5">
        <v>41</v>
      </c>
      <c r="F7" s="32" t="s">
        <v>139</v>
      </c>
      <c r="G7" t="str">
        <f>VLOOKUP(D7,[1]Proizvodi!$A$1:$F$15,2,FALSE)</f>
        <v>Nameštaj za dnevnu sobu</v>
      </c>
      <c r="H7" t="str">
        <f>VLOOKUP(D7,[1]Proizvodi!$A$1:$F$15,3,FALSE)</f>
        <v>Ormarić za TV</v>
      </c>
      <c r="I7" t="s">
        <v>434</v>
      </c>
      <c r="J7" t="str">
        <f>VLOOKUP(A7,[1]Klijenti!$A$1:$F$11,2,FALSE)</f>
        <v>Estetski Kutak</v>
      </c>
      <c r="K7" t="str">
        <f>VLOOKUP(A7,[1]Klijenti!$A$1:$F$11,3,FALSE)</f>
        <v>Srbija</v>
      </c>
    </row>
    <row r="8" spans="1:12">
      <c r="A8" s="5">
        <v>186</v>
      </c>
      <c r="B8" s="15">
        <v>45328</v>
      </c>
      <c r="C8" s="5">
        <v>243994</v>
      </c>
      <c r="D8" s="5" t="s">
        <v>96</v>
      </c>
      <c r="E8" s="5">
        <v>26</v>
      </c>
      <c r="F8" s="32" t="s">
        <v>140</v>
      </c>
      <c r="G8" t="str">
        <f>VLOOKUP(D8,[1]Proizvodi!$A$1:$F$15,2,FALSE)</f>
        <v>Nameštaj za dnevnu sobu</v>
      </c>
      <c r="H8" t="str">
        <f>VLOOKUP(D8,[1]Proizvodi!$A$1:$F$15,3,FALSE)</f>
        <v>Ogledalo za zid</v>
      </c>
      <c r="I8" t="s">
        <v>436</v>
      </c>
      <c r="J8" t="str">
        <f>VLOOKUP(A8,[1]Klijenti!$A$1:$F$11,2,FALSE)</f>
        <v>Kuća- Uređenje i Dizajn</v>
      </c>
      <c r="K8" t="str">
        <f>VLOOKUP(A8,[1]Klijenti!$A$1:$F$11,3,FALSE)</f>
        <v>Beogradski region</v>
      </c>
    </row>
    <row r="9" spans="1:12">
      <c r="A9" s="5">
        <v>179</v>
      </c>
      <c r="B9" s="15">
        <v>45315</v>
      </c>
      <c r="C9" s="5">
        <v>243994</v>
      </c>
      <c r="D9" s="5" t="s">
        <v>94</v>
      </c>
      <c r="E9" s="5">
        <v>12</v>
      </c>
      <c r="F9" s="32" t="s">
        <v>141</v>
      </c>
      <c r="G9" t="str">
        <f>VLOOKUP(D9,[1]Proizvodi!$A$1:$F$15,2,FALSE)</f>
        <v>Nameštaj za dnevnu sobu</v>
      </c>
      <c r="H9" t="str">
        <f>VLOOKUP(D9,[1]Proizvodi!$A$1:$F$15,3,FALSE)</f>
        <v>Polica za knjige</v>
      </c>
      <c r="I9" t="s">
        <v>436</v>
      </c>
      <c r="J9" t="str">
        <f>VLOOKUP(A9,[1]Klijenti!$A$1:$F$11,2,FALSE)</f>
        <v>Elegantni Enterijeri</v>
      </c>
      <c r="K9" t="str">
        <f>VLOOKUP(A9,[1]Klijenti!$A$1:$F$11,3,FALSE)</f>
        <v>Južni i Šumadijski region</v>
      </c>
    </row>
    <row r="10" spans="1:12">
      <c r="A10" s="5">
        <v>151</v>
      </c>
      <c r="B10" s="15">
        <v>45328</v>
      </c>
      <c r="C10" s="5">
        <v>443480</v>
      </c>
      <c r="D10" s="5" t="s">
        <v>89</v>
      </c>
      <c r="E10" s="5">
        <v>49</v>
      </c>
      <c r="F10" s="32" t="s">
        <v>142</v>
      </c>
      <c r="G10" t="str">
        <f>VLOOKUP(D10,[1]Proizvodi!$A$1:$F$15,2,FALSE)</f>
        <v>Nameštaj za dnevnu sobu</v>
      </c>
      <c r="H10" t="str">
        <f>VLOOKUP(D10,[1]Proizvodi!$A$1:$F$15,3,FALSE)</f>
        <v>Komoda</v>
      </c>
      <c r="I10" t="s">
        <v>434</v>
      </c>
      <c r="J10" t="str">
        <f>VLOOKUP(A10,[1]Klijenti!$A$1:$F$11,2,FALSE)</f>
        <v>Estetski Kutak</v>
      </c>
      <c r="K10" t="str">
        <f>VLOOKUP(A10,[1]Klijenti!$A$1:$F$11,3,FALSE)</f>
        <v>Srbija</v>
      </c>
    </row>
    <row r="11" spans="1:12">
      <c r="A11" s="5">
        <v>151</v>
      </c>
      <c r="B11" s="15">
        <v>45310</v>
      </c>
      <c r="C11" s="5">
        <v>443480</v>
      </c>
      <c r="D11" s="5" t="s">
        <v>98</v>
      </c>
      <c r="E11" s="5">
        <v>41</v>
      </c>
      <c r="F11" s="32" t="s">
        <v>143</v>
      </c>
      <c r="G11" t="str">
        <f>VLOOKUP(D11,[1]Proizvodi!$A$1:$F$15,2,FALSE)</f>
        <v>Nameštaj za dnevnu sobu</v>
      </c>
      <c r="H11" t="str">
        <f>VLOOKUP(D11,[1]Proizvodi!$A$1:$F$15,3,FALSE)</f>
        <v>Tabure</v>
      </c>
      <c r="I11" t="s">
        <v>434</v>
      </c>
      <c r="J11" t="str">
        <f>VLOOKUP(A11,[1]Klijenti!$A$1:$F$11,2,FALSE)</f>
        <v>Estetski Kutak</v>
      </c>
      <c r="K11" t="str">
        <f>VLOOKUP(A11,[1]Klijenti!$A$1:$F$11,3,FALSE)</f>
        <v>Srbija</v>
      </c>
    </row>
    <row r="12" spans="1:12">
      <c r="A12" s="5">
        <v>163</v>
      </c>
      <c r="B12" s="15">
        <v>45347</v>
      </c>
      <c r="C12" s="5">
        <v>443480</v>
      </c>
      <c r="D12" s="5" t="s">
        <v>72</v>
      </c>
      <c r="E12" s="5">
        <v>36</v>
      </c>
      <c r="F12" s="32" t="s">
        <v>144</v>
      </c>
      <c r="G12" t="str">
        <f>VLOOKUP(D12,[1]Proizvodi!$A$1:$F$15,2,FALSE)</f>
        <v>Nameštaj za dnevnu sobu</v>
      </c>
      <c r="H12" t="str">
        <f>VLOOKUP(D12,[1]Proizvodi!$A$1:$F$15,3,FALSE)</f>
        <v>Klub sto</v>
      </c>
      <c r="I12" t="s">
        <v>434</v>
      </c>
      <c r="J12" t="str">
        <f>VLOOKUP(A12,[1]Klijenti!$A$1:$F$11,2,FALSE)</f>
        <v>Sofistikacija Doma</v>
      </c>
      <c r="K12" t="str">
        <f>VLOOKUP(A12,[1]Klijenti!$A$1:$F$11,3,FALSE)</f>
        <v>Šumadija</v>
      </c>
    </row>
    <row r="13" spans="1:12">
      <c r="A13" s="5">
        <v>153</v>
      </c>
      <c r="B13" s="15">
        <v>45353</v>
      </c>
      <c r="C13" s="5">
        <v>688897</v>
      </c>
      <c r="D13" s="5" t="s">
        <v>86</v>
      </c>
      <c r="E13" s="5">
        <v>5</v>
      </c>
      <c r="F13" s="32" t="s">
        <v>145</v>
      </c>
      <c r="G13" t="str">
        <f>VLOOKUP(D13,[1]Proizvodi!$A$1:$F$15,2,FALSE)</f>
        <v>Nameštaj za spavaću sobu</v>
      </c>
      <c r="H13" t="str">
        <f>VLOOKUP(D13,[1]Proizvodi!$A$1:$F$15,3,FALSE)</f>
        <v>Noćni ormarić</v>
      </c>
      <c r="I13" t="s">
        <v>435</v>
      </c>
      <c r="J13" t="str">
        <f>VLOOKUP(A13,[1]Klijenti!$A$1:$F$11,2,FALSE)</f>
        <v>Udobni Kutak</v>
      </c>
      <c r="K13" t="str">
        <f>VLOOKUP(A13,[1]Klijenti!$A$1:$F$11,3,FALSE)</f>
        <v>Južni region</v>
      </c>
    </row>
    <row r="14" spans="1:12">
      <c r="A14" s="5">
        <v>151</v>
      </c>
      <c r="B14" s="15">
        <v>45301</v>
      </c>
      <c r="C14" s="5">
        <v>243994</v>
      </c>
      <c r="D14" s="5" t="s">
        <v>94</v>
      </c>
      <c r="E14" s="5">
        <v>33</v>
      </c>
      <c r="F14" s="32" t="s">
        <v>146</v>
      </c>
      <c r="G14" t="str">
        <f>VLOOKUP(D14,[1]Proizvodi!$A$1:$F$15,2,FALSE)</f>
        <v>Nameštaj za dnevnu sobu</v>
      </c>
      <c r="H14" t="str">
        <f>VLOOKUP(D14,[1]Proizvodi!$A$1:$F$15,3,FALSE)</f>
        <v>Polica za knjige</v>
      </c>
      <c r="I14" t="s">
        <v>436</v>
      </c>
      <c r="J14" t="str">
        <f>VLOOKUP(A14,[1]Klijenti!$A$1:$F$11,2,FALSE)</f>
        <v>Estetski Kutak</v>
      </c>
      <c r="K14" t="str">
        <f>VLOOKUP(A14,[1]Klijenti!$A$1:$F$11,3,FALSE)</f>
        <v>Srbija</v>
      </c>
    </row>
    <row r="15" spans="1:12">
      <c r="A15" s="5">
        <v>152</v>
      </c>
      <c r="B15" s="15">
        <v>45330</v>
      </c>
      <c r="C15" s="5">
        <v>171444</v>
      </c>
      <c r="D15" s="5" t="s">
        <v>80</v>
      </c>
      <c r="E15" s="5">
        <v>46</v>
      </c>
      <c r="F15" s="32" t="s">
        <v>147</v>
      </c>
      <c r="G15" t="str">
        <f>VLOOKUP(D15,[1]Proizvodi!$A$1:$F$15,2,FALSE)</f>
        <v>Nameštaj za dnevnu sobu</v>
      </c>
      <c r="H15" t="str">
        <f>VLOOKUP(D15,[1]Proizvodi!$A$1:$F$15,3,FALSE)</f>
        <v>Ormarić za TV</v>
      </c>
      <c r="I15" t="s">
        <v>437</v>
      </c>
      <c r="J15" t="str">
        <f>VLOOKUP(A15,[1]Klijenti!$A$1:$F$11,2,FALSE)</f>
        <v>Prostor za Uživanje</v>
      </c>
      <c r="K15" t="str">
        <f>VLOOKUP(A15,[1]Klijenti!$A$1:$F$11,3,FALSE)</f>
        <v>Srbija</v>
      </c>
    </row>
    <row r="16" spans="1:12">
      <c r="A16" s="5">
        <v>108</v>
      </c>
      <c r="B16" s="15">
        <v>45373</v>
      </c>
      <c r="C16" s="5">
        <v>466126</v>
      </c>
      <c r="D16" s="5" t="s">
        <v>78</v>
      </c>
      <c r="E16" s="5">
        <v>2</v>
      </c>
      <c r="F16" s="32" t="s">
        <v>148</v>
      </c>
      <c r="G16" t="str">
        <f>VLOOKUP(D16,[1]Proizvodi!$A$1:$F$15,2,FALSE)</f>
        <v>Nameštaj za dnevnu sobu</v>
      </c>
      <c r="H16" t="str">
        <f>VLOOKUP(D16,[1]Proizvodi!$A$1:$F$15,3,FALSE)</f>
        <v>Rasklopiva fotelja</v>
      </c>
      <c r="I16" t="s">
        <v>433</v>
      </c>
      <c r="J16" t="str">
        <f>VLOOKUP(A16,[1]Klijenti!$A$1:$F$11,2,FALSE)</f>
        <v>Dom &amp; Dekor</v>
      </c>
      <c r="K16" t="str">
        <f>VLOOKUP(A16,[1]Klijenti!$A$1:$F$11,3,FALSE)</f>
        <v>Beogradski region</v>
      </c>
    </row>
    <row r="17" spans="1:11">
      <c r="A17" s="5">
        <v>108</v>
      </c>
      <c r="B17" s="15">
        <v>45373</v>
      </c>
      <c r="C17" s="5">
        <v>466126</v>
      </c>
      <c r="D17" s="5" t="s">
        <v>78</v>
      </c>
      <c r="E17" s="5">
        <v>31</v>
      </c>
      <c r="F17" s="32" t="s">
        <v>149</v>
      </c>
      <c r="G17" t="str">
        <f>VLOOKUP(D17,[1]Proizvodi!$A$1:$F$15,2,FALSE)</f>
        <v>Nameštaj za dnevnu sobu</v>
      </c>
      <c r="H17" t="str">
        <f>VLOOKUP(D17,[1]Proizvodi!$A$1:$F$15,3,FALSE)</f>
        <v>Rasklopiva fotelja</v>
      </c>
      <c r="I17" t="s">
        <v>433</v>
      </c>
      <c r="J17" t="str">
        <f>VLOOKUP(A17,[1]Klijenti!$A$1:$F$11,2,FALSE)</f>
        <v>Dom &amp; Dekor</v>
      </c>
      <c r="K17" t="str">
        <f>VLOOKUP(A17,[1]Klijenti!$A$1:$F$11,3,FALSE)</f>
        <v>Beogradski region</v>
      </c>
    </row>
    <row r="18" spans="1:11">
      <c r="A18" s="5">
        <v>127</v>
      </c>
      <c r="B18" s="15">
        <v>45363</v>
      </c>
      <c r="C18" s="5">
        <v>171444</v>
      </c>
      <c r="D18" s="5" t="s">
        <v>72</v>
      </c>
      <c r="E18" s="5">
        <v>21</v>
      </c>
      <c r="F18" s="32" t="s">
        <v>150</v>
      </c>
      <c r="G18" t="str">
        <f>VLOOKUP(D18,[1]Proizvodi!$A$1:$F$15,2,FALSE)</f>
        <v>Nameštaj za dnevnu sobu</v>
      </c>
      <c r="H18" t="str">
        <f>VLOOKUP(D18,[1]Proizvodi!$A$1:$F$15,3,FALSE)</f>
        <v>Klub sto</v>
      </c>
      <c r="I18" t="s">
        <v>437</v>
      </c>
      <c r="J18" t="str">
        <f>VLOOKUP(A18,[1]Klijenti!$A$1:$F$11,2,FALSE)</f>
        <v>Luksuzni Dizajn</v>
      </c>
      <c r="K18" t="str">
        <f>VLOOKUP(A18,[1]Klijenti!$A$1:$F$11,3,FALSE)</f>
        <v>Vojvodina</v>
      </c>
    </row>
    <row r="19" spans="1:11">
      <c r="A19" s="5">
        <v>179</v>
      </c>
      <c r="B19" s="15">
        <v>45379</v>
      </c>
      <c r="C19" s="5">
        <v>243994</v>
      </c>
      <c r="D19" s="5" t="s">
        <v>98</v>
      </c>
      <c r="E19" s="5">
        <v>23</v>
      </c>
      <c r="F19" s="32" t="s">
        <v>151</v>
      </c>
      <c r="G19" t="str">
        <f>VLOOKUP(D19,[1]Proizvodi!$A$1:$F$15,2,FALSE)</f>
        <v>Nameštaj za dnevnu sobu</v>
      </c>
      <c r="H19" t="str">
        <f>VLOOKUP(D19,[1]Proizvodi!$A$1:$F$15,3,FALSE)</f>
        <v>Tabure</v>
      </c>
      <c r="I19" t="s">
        <v>436</v>
      </c>
      <c r="J19" t="str">
        <f>VLOOKUP(A19,[1]Klijenti!$A$1:$F$11,2,FALSE)</f>
        <v>Elegantni Enterijeri</v>
      </c>
      <c r="K19" t="str">
        <f>VLOOKUP(A19,[1]Klijenti!$A$1:$F$11,3,FALSE)</f>
        <v>Južni i Šumadijski region</v>
      </c>
    </row>
    <row r="20" spans="1:11">
      <c r="A20" s="5">
        <v>157</v>
      </c>
      <c r="B20" s="15">
        <v>45349</v>
      </c>
      <c r="C20" s="5">
        <v>688897</v>
      </c>
      <c r="D20" s="5" t="s">
        <v>94</v>
      </c>
      <c r="E20" s="5">
        <v>19</v>
      </c>
      <c r="F20" s="32" t="s">
        <v>152</v>
      </c>
      <c r="G20" t="str">
        <f>VLOOKUP(D20,[1]Proizvodi!$A$1:$F$15,2,FALSE)</f>
        <v>Nameštaj za dnevnu sobu</v>
      </c>
      <c r="H20" t="str">
        <f>VLOOKUP(D20,[1]Proizvodi!$A$1:$F$15,3,FALSE)</f>
        <v>Polica za knjige</v>
      </c>
      <c r="I20" t="s">
        <v>435</v>
      </c>
      <c r="J20" t="str">
        <f>VLOOKUP(A20,[1]Klijenti!$A$1:$F$11,2,FALSE)</f>
        <v>Stilski Stan</v>
      </c>
      <c r="K20" t="str">
        <f>VLOOKUP(A20,[1]Klijenti!$A$1:$F$11,3,FALSE)</f>
        <v>Vojvodina i Beograd</v>
      </c>
    </row>
    <row r="21" spans="1:11">
      <c r="A21" s="5">
        <v>163</v>
      </c>
      <c r="B21" s="15">
        <v>45329</v>
      </c>
      <c r="C21" s="5">
        <v>443480</v>
      </c>
      <c r="D21" s="5" t="s">
        <v>78</v>
      </c>
      <c r="E21" s="5">
        <v>49</v>
      </c>
      <c r="F21" s="32" t="s">
        <v>153</v>
      </c>
      <c r="G21" t="str">
        <f>VLOOKUP(D21,[1]Proizvodi!$A$1:$F$15,2,FALSE)</f>
        <v>Nameštaj za dnevnu sobu</v>
      </c>
      <c r="H21" t="str">
        <f>VLOOKUP(D21,[1]Proizvodi!$A$1:$F$15,3,FALSE)</f>
        <v>Rasklopiva fotelja</v>
      </c>
      <c r="I21" t="s">
        <v>434</v>
      </c>
      <c r="J21" t="str">
        <f>VLOOKUP(A21,[1]Klijenti!$A$1:$F$11,2,FALSE)</f>
        <v>Sofistikacija Doma</v>
      </c>
      <c r="K21" t="str">
        <f>VLOOKUP(A21,[1]Klijenti!$A$1:$F$11,3,FALSE)</f>
        <v>Šumadija</v>
      </c>
    </row>
    <row r="22" spans="1:11">
      <c r="A22" s="5">
        <v>186</v>
      </c>
      <c r="B22" s="15">
        <v>45310</v>
      </c>
      <c r="C22" s="5">
        <v>243994</v>
      </c>
      <c r="D22" s="5" t="s">
        <v>96</v>
      </c>
      <c r="E22" s="5">
        <v>31</v>
      </c>
      <c r="F22" s="32" t="s">
        <v>154</v>
      </c>
      <c r="G22" t="str">
        <f>VLOOKUP(D22,[1]Proizvodi!$A$1:$F$15,2,FALSE)</f>
        <v>Nameštaj za dnevnu sobu</v>
      </c>
      <c r="H22" t="str">
        <f>VLOOKUP(D22,[1]Proizvodi!$A$1:$F$15,3,FALSE)</f>
        <v>Ogledalo za zid</v>
      </c>
      <c r="I22" t="s">
        <v>436</v>
      </c>
      <c r="J22" t="str">
        <f>VLOOKUP(A22,[1]Klijenti!$A$1:$F$11,2,FALSE)</f>
        <v>Kuća- Uređenje i Dizajn</v>
      </c>
      <c r="K22" t="str">
        <f>VLOOKUP(A22,[1]Klijenti!$A$1:$F$11,3,FALSE)</f>
        <v>Beogradski region</v>
      </c>
    </row>
    <row r="23" spans="1:11">
      <c r="A23" s="5">
        <v>186</v>
      </c>
      <c r="B23" s="15">
        <v>45375</v>
      </c>
      <c r="C23" s="5">
        <v>243994</v>
      </c>
      <c r="D23" s="5" t="s">
        <v>78</v>
      </c>
      <c r="E23" s="5">
        <v>28</v>
      </c>
      <c r="F23" s="32" t="s">
        <v>155</v>
      </c>
      <c r="G23" t="str">
        <f>VLOOKUP(D23,[1]Proizvodi!$A$1:$F$15,2,FALSE)</f>
        <v>Nameštaj za dnevnu sobu</v>
      </c>
      <c r="H23" t="str">
        <f>VLOOKUP(D23,[1]Proizvodi!$A$1:$F$15,3,FALSE)</f>
        <v>Rasklopiva fotelja</v>
      </c>
      <c r="I23" t="s">
        <v>436</v>
      </c>
      <c r="J23" t="str">
        <f>VLOOKUP(A23,[1]Klijenti!$A$1:$F$11,2,FALSE)</f>
        <v>Kuća- Uređenje i Dizajn</v>
      </c>
      <c r="K23" t="str">
        <f>VLOOKUP(A23,[1]Klijenti!$A$1:$F$11,3,FALSE)</f>
        <v>Beogradski region</v>
      </c>
    </row>
    <row r="24" spans="1:11">
      <c r="A24" s="5">
        <v>151</v>
      </c>
      <c r="B24" s="15">
        <v>45328</v>
      </c>
      <c r="C24" s="5">
        <v>243994</v>
      </c>
      <c r="D24" s="5" t="s">
        <v>84</v>
      </c>
      <c r="E24" s="5">
        <v>43</v>
      </c>
      <c r="F24" s="32" t="s">
        <v>156</v>
      </c>
      <c r="G24" t="str">
        <f>VLOOKUP(D24,[1]Proizvodi!$A$1:$F$15,2,FALSE)</f>
        <v>Trpezarija</v>
      </c>
      <c r="H24" t="str">
        <f>VLOOKUP(D24,[1]Proizvodi!$A$1:$F$15,3,FALSE)</f>
        <v>Stolica za ručavanje</v>
      </c>
      <c r="I24" t="s">
        <v>436</v>
      </c>
      <c r="J24" t="str">
        <f>VLOOKUP(A24,[1]Klijenti!$A$1:$F$11,2,FALSE)</f>
        <v>Estetski Kutak</v>
      </c>
      <c r="K24" t="str">
        <f>VLOOKUP(A24,[1]Klijenti!$A$1:$F$11,3,FALSE)</f>
        <v>Srbija</v>
      </c>
    </row>
    <row r="25" spans="1:11">
      <c r="A25" s="5">
        <v>152</v>
      </c>
      <c r="B25" s="15">
        <v>45320</v>
      </c>
      <c r="C25" s="5">
        <v>171444</v>
      </c>
      <c r="D25" s="5" t="s">
        <v>84</v>
      </c>
      <c r="E25" s="5">
        <v>8</v>
      </c>
      <c r="F25" s="32" t="s">
        <v>157</v>
      </c>
      <c r="G25" t="str">
        <f>VLOOKUP(D25,[1]Proizvodi!$A$1:$F$15,2,FALSE)</f>
        <v>Trpezarija</v>
      </c>
      <c r="H25" t="str">
        <f>VLOOKUP(D25,[1]Proizvodi!$A$1:$F$15,3,FALSE)</f>
        <v>Stolica za ručavanje</v>
      </c>
      <c r="I25" t="s">
        <v>437</v>
      </c>
      <c r="J25" t="str">
        <f>VLOOKUP(A25,[1]Klijenti!$A$1:$F$11,2,FALSE)</f>
        <v>Prostor za Uživanje</v>
      </c>
      <c r="K25" t="str">
        <f>VLOOKUP(A25,[1]Klijenti!$A$1:$F$11,3,FALSE)</f>
        <v>Srbija</v>
      </c>
    </row>
    <row r="26" spans="1:11">
      <c r="A26" s="5">
        <v>163</v>
      </c>
      <c r="B26" s="15">
        <v>45310</v>
      </c>
      <c r="C26" s="5">
        <v>443480</v>
      </c>
      <c r="D26" s="5" t="s">
        <v>72</v>
      </c>
      <c r="E26" s="5">
        <v>47</v>
      </c>
      <c r="F26" s="32" t="s">
        <v>158</v>
      </c>
      <c r="G26" t="str">
        <f>VLOOKUP(D26,[1]Proizvodi!$A$1:$F$15,2,FALSE)</f>
        <v>Nameštaj za dnevnu sobu</v>
      </c>
      <c r="H26" t="str">
        <f>VLOOKUP(D26,[1]Proizvodi!$A$1:$F$15,3,FALSE)</f>
        <v>Klub sto</v>
      </c>
      <c r="I26" t="s">
        <v>434</v>
      </c>
      <c r="J26" t="str">
        <f>VLOOKUP(A26,[1]Klijenti!$A$1:$F$11,2,FALSE)</f>
        <v>Sofistikacija Doma</v>
      </c>
      <c r="K26" t="str">
        <f>VLOOKUP(A26,[1]Klijenti!$A$1:$F$11,3,FALSE)</f>
        <v>Šumadija</v>
      </c>
    </row>
    <row r="27" spans="1:11">
      <c r="A27" s="5">
        <v>179</v>
      </c>
      <c r="B27" s="15">
        <v>45370</v>
      </c>
      <c r="C27" s="5">
        <v>243994</v>
      </c>
      <c r="D27" s="5" t="s">
        <v>103</v>
      </c>
      <c r="E27" s="5">
        <v>50</v>
      </c>
      <c r="F27" s="32" t="s">
        <v>159</v>
      </c>
      <c r="G27" t="str">
        <f>VLOOKUP(D27,[1]Proizvodi!$A$1:$F$15,2,FALSE)</f>
        <v>Kuhinja</v>
      </c>
      <c r="H27" t="str">
        <f>VLOOKUP(D27,[1]Proizvodi!$A$1:$F$15,3,FALSE)</f>
        <v>Kuhinjsko ostrvo</v>
      </c>
      <c r="I27" t="s">
        <v>436</v>
      </c>
      <c r="J27" t="str">
        <f>VLOOKUP(A27,[1]Klijenti!$A$1:$F$11,2,FALSE)</f>
        <v>Elegantni Enterijeri</v>
      </c>
      <c r="K27" t="str">
        <f>VLOOKUP(A27,[1]Klijenti!$A$1:$F$11,3,FALSE)</f>
        <v>Južni i Šumadijski region</v>
      </c>
    </row>
    <row r="28" spans="1:11">
      <c r="A28" s="5">
        <v>179</v>
      </c>
      <c r="B28" s="15">
        <v>45303</v>
      </c>
      <c r="C28" s="5">
        <v>243994</v>
      </c>
      <c r="D28" s="5" t="s">
        <v>103</v>
      </c>
      <c r="E28" s="5">
        <v>26</v>
      </c>
      <c r="F28" s="32" t="s">
        <v>160</v>
      </c>
      <c r="G28" t="str">
        <f>VLOOKUP(D28,[1]Proizvodi!$A$1:$F$15,2,FALSE)</f>
        <v>Kuhinja</v>
      </c>
      <c r="H28" t="str">
        <f>VLOOKUP(D28,[1]Proizvodi!$A$1:$F$15,3,FALSE)</f>
        <v>Kuhinjsko ostrvo</v>
      </c>
      <c r="I28" t="s">
        <v>436</v>
      </c>
      <c r="J28" t="str">
        <f>VLOOKUP(A28,[1]Klijenti!$A$1:$F$11,2,FALSE)</f>
        <v>Elegantni Enterijeri</v>
      </c>
      <c r="K28" t="str">
        <f>VLOOKUP(A28,[1]Klijenti!$A$1:$F$11,3,FALSE)</f>
        <v>Južni i Šumadijski region</v>
      </c>
    </row>
    <row r="29" spans="1:11">
      <c r="A29" s="5">
        <v>195</v>
      </c>
      <c r="B29" s="15">
        <v>45314</v>
      </c>
      <c r="C29" s="5">
        <v>466126</v>
      </c>
      <c r="D29" s="5" t="s">
        <v>98</v>
      </c>
      <c r="E29" s="5">
        <v>33</v>
      </c>
      <c r="F29" s="32" t="s">
        <v>161</v>
      </c>
      <c r="G29" t="str">
        <f>VLOOKUP(D29,[1]Proizvodi!$A$1:$F$15,2,FALSE)</f>
        <v>Nameštaj za dnevnu sobu</v>
      </c>
      <c r="H29" t="str">
        <f>VLOOKUP(D29,[1]Proizvodi!$A$1:$F$15,3,FALSE)</f>
        <v>Tabure</v>
      </c>
      <c r="I29" t="s">
        <v>433</v>
      </c>
      <c r="J29" t="str">
        <f>VLOOKUP(A29,[1]Klijenti!$A$1:$F$11,2,FALSE)</f>
        <v>Moderni Dom</v>
      </c>
      <c r="K29" t="str">
        <f>VLOOKUP(A29,[1]Klijenti!$A$1:$F$11,3,FALSE)</f>
        <v>Srbija</v>
      </c>
    </row>
    <row r="30" spans="1:11">
      <c r="A30" s="5">
        <v>163</v>
      </c>
      <c r="B30" s="15">
        <v>45373</v>
      </c>
      <c r="C30" s="5">
        <v>443480</v>
      </c>
      <c r="D30" s="5" t="s">
        <v>86</v>
      </c>
      <c r="E30" s="5">
        <v>47</v>
      </c>
      <c r="F30" s="32" t="s">
        <v>162</v>
      </c>
      <c r="G30" t="str">
        <f>VLOOKUP(D30,[1]Proizvodi!$A$1:$F$15,2,FALSE)</f>
        <v>Nameštaj za spavaću sobu</v>
      </c>
      <c r="H30" t="str">
        <f>VLOOKUP(D30,[1]Proizvodi!$A$1:$F$15,3,FALSE)</f>
        <v>Noćni ormarić</v>
      </c>
      <c r="I30" t="s">
        <v>434</v>
      </c>
      <c r="J30" t="str">
        <f>VLOOKUP(A30,[1]Klijenti!$A$1:$F$11,2,FALSE)</f>
        <v>Sofistikacija Doma</v>
      </c>
      <c r="K30" t="str">
        <f>VLOOKUP(A30,[1]Klijenti!$A$1:$F$11,3,FALSE)</f>
        <v>Šumadija</v>
      </c>
    </row>
    <row r="31" spans="1:11">
      <c r="A31" s="5">
        <v>152</v>
      </c>
      <c r="B31" s="15">
        <v>45367</v>
      </c>
      <c r="C31" s="5">
        <v>171444</v>
      </c>
      <c r="D31" s="5" t="s">
        <v>98</v>
      </c>
      <c r="E31" s="5">
        <v>22</v>
      </c>
      <c r="F31" s="32" t="s">
        <v>163</v>
      </c>
      <c r="G31" t="str">
        <f>VLOOKUP(D31,[1]Proizvodi!$A$1:$F$15,2,FALSE)</f>
        <v>Nameštaj za dnevnu sobu</v>
      </c>
      <c r="H31" t="str">
        <f>VLOOKUP(D31,[1]Proizvodi!$A$1:$F$15,3,FALSE)</f>
        <v>Tabure</v>
      </c>
      <c r="I31" t="s">
        <v>437</v>
      </c>
      <c r="J31" t="str">
        <f>VLOOKUP(A31,[1]Klijenti!$A$1:$F$11,2,FALSE)</f>
        <v>Prostor za Uživanje</v>
      </c>
      <c r="K31" t="str">
        <f>VLOOKUP(A31,[1]Klijenti!$A$1:$F$11,3,FALSE)</f>
        <v>Srbija</v>
      </c>
    </row>
    <row r="32" spans="1:11">
      <c r="A32" s="5">
        <v>179</v>
      </c>
      <c r="B32" s="15">
        <v>45333</v>
      </c>
      <c r="C32" s="5">
        <v>243994</v>
      </c>
      <c r="D32" s="5" t="s">
        <v>98</v>
      </c>
      <c r="E32" s="5">
        <v>12</v>
      </c>
      <c r="F32" s="32" t="s">
        <v>164</v>
      </c>
      <c r="G32" t="str">
        <f>VLOOKUP(D32,[1]Proizvodi!$A$1:$F$15,2,FALSE)</f>
        <v>Nameštaj za dnevnu sobu</v>
      </c>
      <c r="H32" t="str">
        <f>VLOOKUP(D32,[1]Proizvodi!$A$1:$F$15,3,FALSE)</f>
        <v>Tabure</v>
      </c>
      <c r="I32" t="s">
        <v>436</v>
      </c>
      <c r="J32" t="str">
        <f>VLOOKUP(A32,[1]Klijenti!$A$1:$F$11,2,FALSE)</f>
        <v>Elegantni Enterijeri</v>
      </c>
      <c r="K32" t="str">
        <f>VLOOKUP(A32,[1]Klijenti!$A$1:$F$11,3,FALSE)</f>
        <v>Južni i Šumadijski region</v>
      </c>
    </row>
    <row r="33" spans="1:11">
      <c r="A33" s="5">
        <v>108</v>
      </c>
      <c r="B33" s="15">
        <v>45380</v>
      </c>
      <c r="C33" s="5">
        <v>466126</v>
      </c>
      <c r="D33" s="5" t="s">
        <v>96</v>
      </c>
      <c r="E33" s="5">
        <v>42</v>
      </c>
      <c r="F33" s="32" t="s">
        <v>165</v>
      </c>
      <c r="G33" t="str">
        <f>VLOOKUP(D33,[1]Proizvodi!$A$1:$F$15,2,FALSE)</f>
        <v>Nameštaj za dnevnu sobu</v>
      </c>
      <c r="H33" t="str">
        <f>VLOOKUP(D33,[1]Proizvodi!$A$1:$F$15,3,FALSE)</f>
        <v>Ogledalo za zid</v>
      </c>
      <c r="I33" t="s">
        <v>433</v>
      </c>
      <c r="J33" t="str">
        <f>VLOOKUP(A33,[1]Klijenti!$A$1:$F$11,2,FALSE)</f>
        <v>Dom &amp; Dekor</v>
      </c>
      <c r="K33" t="str">
        <f>VLOOKUP(A33,[1]Klijenti!$A$1:$F$11,3,FALSE)</f>
        <v>Beogradski region</v>
      </c>
    </row>
    <row r="34" spans="1:11">
      <c r="A34" s="5">
        <v>163</v>
      </c>
      <c r="B34" s="15">
        <v>45301</v>
      </c>
      <c r="C34" s="5">
        <v>443480</v>
      </c>
      <c r="D34" s="5" t="s">
        <v>78</v>
      </c>
      <c r="E34" s="5">
        <v>6</v>
      </c>
      <c r="F34" s="32" t="s">
        <v>166</v>
      </c>
      <c r="G34" t="str">
        <f>VLOOKUP(D34,[1]Proizvodi!$A$1:$F$15,2,FALSE)</f>
        <v>Nameštaj za dnevnu sobu</v>
      </c>
      <c r="H34" t="str">
        <f>VLOOKUP(D34,[1]Proizvodi!$A$1:$F$15,3,FALSE)</f>
        <v>Rasklopiva fotelja</v>
      </c>
      <c r="I34" t="s">
        <v>434</v>
      </c>
      <c r="J34" t="str">
        <f>VLOOKUP(A34,[1]Klijenti!$A$1:$F$11,2,FALSE)</f>
        <v>Sofistikacija Doma</v>
      </c>
      <c r="K34" t="str">
        <f>VLOOKUP(A34,[1]Klijenti!$A$1:$F$11,3,FALSE)</f>
        <v>Šumadija</v>
      </c>
    </row>
    <row r="35" spans="1:11">
      <c r="A35" s="5">
        <v>127</v>
      </c>
      <c r="B35" s="15">
        <v>45359</v>
      </c>
      <c r="C35" s="5">
        <v>171444</v>
      </c>
      <c r="D35" s="5" t="s">
        <v>86</v>
      </c>
      <c r="E35" s="5">
        <v>8</v>
      </c>
      <c r="F35" s="32" t="s">
        <v>167</v>
      </c>
      <c r="G35" t="str">
        <f>VLOOKUP(D35,[1]Proizvodi!$A$1:$F$15,2,FALSE)</f>
        <v>Nameštaj za spavaću sobu</v>
      </c>
      <c r="H35" t="str">
        <f>VLOOKUP(D35,[1]Proizvodi!$A$1:$F$15,3,FALSE)</f>
        <v>Noćni ormarić</v>
      </c>
      <c r="I35" t="s">
        <v>437</v>
      </c>
      <c r="J35" t="str">
        <f>VLOOKUP(A35,[1]Klijenti!$A$1:$F$11,2,FALSE)</f>
        <v>Luksuzni Dizajn</v>
      </c>
      <c r="K35" t="str">
        <f>VLOOKUP(A35,[1]Klijenti!$A$1:$F$11,3,FALSE)</f>
        <v>Vojvodina</v>
      </c>
    </row>
    <row r="36" spans="1:11">
      <c r="A36" s="5">
        <v>157</v>
      </c>
      <c r="B36" s="15">
        <v>45302</v>
      </c>
      <c r="C36" s="5">
        <v>688897</v>
      </c>
      <c r="D36" s="5" t="s">
        <v>84</v>
      </c>
      <c r="E36" s="5">
        <v>14</v>
      </c>
      <c r="F36" s="32" t="s">
        <v>168</v>
      </c>
      <c r="G36" t="str">
        <f>VLOOKUP(D36,[1]Proizvodi!$A$1:$F$15,2,FALSE)</f>
        <v>Trpezarija</v>
      </c>
      <c r="H36" t="str">
        <f>VLOOKUP(D36,[1]Proizvodi!$A$1:$F$15,3,FALSE)</f>
        <v>Stolica za ručavanje</v>
      </c>
      <c r="I36" t="s">
        <v>435</v>
      </c>
      <c r="J36" t="str">
        <f>VLOOKUP(A36,[1]Klijenti!$A$1:$F$11,2,FALSE)</f>
        <v>Stilski Stan</v>
      </c>
      <c r="K36" t="str">
        <f>VLOOKUP(A36,[1]Klijenti!$A$1:$F$11,3,FALSE)</f>
        <v>Vojvodina i Beograd</v>
      </c>
    </row>
    <row r="37" spans="1:11">
      <c r="A37" s="5">
        <v>157</v>
      </c>
      <c r="B37" s="15">
        <v>45319</v>
      </c>
      <c r="C37" s="5">
        <v>688897</v>
      </c>
      <c r="D37" s="5" t="s">
        <v>84</v>
      </c>
      <c r="E37" s="5">
        <v>3</v>
      </c>
      <c r="F37" s="32" t="s">
        <v>169</v>
      </c>
      <c r="G37" t="str">
        <f>VLOOKUP(D37,[1]Proizvodi!$A$1:$F$15,2,FALSE)</f>
        <v>Trpezarija</v>
      </c>
      <c r="H37" t="str">
        <f>VLOOKUP(D37,[1]Proizvodi!$A$1:$F$15,3,FALSE)</f>
        <v>Stolica za ručavanje</v>
      </c>
      <c r="I37" t="s">
        <v>435</v>
      </c>
      <c r="J37" t="str">
        <f>VLOOKUP(A37,[1]Klijenti!$A$1:$F$11,2,FALSE)</f>
        <v>Stilski Stan</v>
      </c>
      <c r="K37" t="str">
        <f>VLOOKUP(A37,[1]Klijenti!$A$1:$F$11,3,FALSE)</f>
        <v>Vojvodina i Beograd</v>
      </c>
    </row>
    <row r="38" spans="1:11">
      <c r="A38" s="5">
        <v>153</v>
      </c>
      <c r="B38" s="15">
        <v>45336</v>
      </c>
      <c r="C38" s="5">
        <v>688897</v>
      </c>
      <c r="D38" s="5" t="s">
        <v>78</v>
      </c>
      <c r="E38" s="5">
        <v>33</v>
      </c>
      <c r="F38" s="32" t="s">
        <v>170</v>
      </c>
      <c r="G38" t="str">
        <f>VLOOKUP(D38,[1]Proizvodi!$A$1:$F$15,2,FALSE)</f>
        <v>Nameštaj za dnevnu sobu</v>
      </c>
      <c r="H38" t="str">
        <f>VLOOKUP(D38,[1]Proizvodi!$A$1:$F$15,3,FALSE)</f>
        <v>Rasklopiva fotelja</v>
      </c>
      <c r="I38" t="s">
        <v>435</v>
      </c>
      <c r="J38" t="str">
        <f>VLOOKUP(A38,[1]Klijenti!$A$1:$F$11,2,FALSE)</f>
        <v>Udobni Kutak</v>
      </c>
      <c r="K38" t="str">
        <f>VLOOKUP(A38,[1]Klijenti!$A$1:$F$11,3,FALSE)</f>
        <v>Južni region</v>
      </c>
    </row>
    <row r="39" spans="1:11">
      <c r="A39" s="5">
        <v>195</v>
      </c>
      <c r="B39" s="15">
        <v>45366</v>
      </c>
      <c r="C39" s="5">
        <v>466126</v>
      </c>
      <c r="D39" s="5" t="s">
        <v>98</v>
      </c>
      <c r="E39" s="5">
        <v>44</v>
      </c>
      <c r="F39" s="32" t="s">
        <v>171</v>
      </c>
      <c r="G39" t="str">
        <f>VLOOKUP(D39,[1]Proizvodi!$A$1:$F$15,2,FALSE)</f>
        <v>Nameštaj za dnevnu sobu</v>
      </c>
      <c r="H39" t="str">
        <f>VLOOKUP(D39,[1]Proizvodi!$A$1:$F$15,3,FALSE)</f>
        <v>Tabure</v>
      </c>
      <c r="I39" t="s">
        <v>433</v>
      </c>
      <c r="J39" t="str">
        <f>VLOOKUP(A39,[1]Klijenti!$A$1:$F$11,2,FALSE)</f>
        <v>Moderni Dom</v>
      </c>
      <c r="K39" t="str">
        <f>VLOOKUP(A39,[1]Klijenti!$A$1:$F$11,3,FALSE)</f>
        <v>Srbija</v>
      </c>
    </row>
    <row r="40" spans="1:11">
      <c r="A40" s="5">
        <v>153</v>
      </c>
      <c r="B40" s="15">
        <v>45363</v>
      </c>
      <c r="C40" s="5">
        <v>688897</v>
      </c>
      <c r="D40" s="5" t="s">
        <v>82</v>
      </c>
      <c r="E40" s="5">
        <v>46</v>
      </c>
      <c r="F40" s="32" t="s">
        <v>172</v>
      </c>
      <c r="G40" t="str">
        <f>VLOOKUP(D40,[1]Proizvodi!$A$1:$F$15,2,FALSE)</f>
        <v>Nameštaj za dnevnu sobu</v>
      </c>
      <c r="H40" t="str">
        <f>VLOOKUP(D40,[1]Proizvodi!$A$1:$F$15,3,FALSE)</f>
        <v>Sofa</v>
      </c>
      <c r="I40" t="s">
        <v>435</v>
      </c>
      <c r="J40" t="str">
        <f>VLOOKUP(A40,[1]Klijenti!$A$1:$F$11,2,FALSE)</f>
        <v>Udobni Kutak</v>
      </c>
      <c r="K40" t="str">
        <f>VLOOKUP(A40,[1]Klijenti!$A$1:$F$11,3,FALSE)</f>
        <v>Južni region</v>
      </c>
    </row>
    <row r="41" spans="1:11">
      <c r="A41" s="5">
        <v>157</v>
      </c>
      <c r="B41" s="15">
        <v>45323</v>
      </c>
      <c r="C41" s="5">
        <v>688897</v>
      </c>
      <c r="D41" s="5" t="s">
        <v>89</v>
      </c>
      <c r="E41" s="5">
        <v>16</v>
      </c>
      <c r="F41" s="32" t="s">
        <v>173</v>
      </c>
      <c r="G41" t="str">
        <f>VLOOKUP(D41,[1]Proizvodi!$A$1:$F$15,2,FALSE)</f>
        <v>Nameštaj za dnevnu sobu</v>
      </c>
      <c r="H41" t="str">
        <f>VLOOKUP(D41,[1]Proizvodi!$A$1:$F$15,3,FALSE)</f>
        <v>Komoda</v>
      </c>
      <c r="I41" t="s">
        <v>435</v>
      </c>
      <c r="J41" t="str">
        <f>VLOOKUP(A41,[1]Klijenti!$A$1:$F$11,2,FALSE)</f>
        <v>Stilski Stan</v>
      </c>
      <c r="K41" t="str">
        <f>VLOOKUP(A41,[1]Klijenti!$A$1:$F$11,3,FALSE)</f>
        <v>Vojvodina i Beograd</v>
      </c>
    </row>
    <row r="42" spans="1:11">
      <c r="A42" s="5">
        <v>152</v>
      </c>
      <c r="B42" s="15">
        <v>45299</v>
      </c>
      <c r="C42" s="5">
        <v>171444</v>
      </c>
      <c r="D42" s="5" t="s">
        <v>98</v>
      </c>
      <c r="E42" s="5">
        <v>25</v>
      </c>
      <c r="F42" s="32" t="s">
        <v>174</v>
      </c>
      <c r="G42" t="str">
        <f>VLOOKUP(D42,[1]Proizvodi!$A$1:$F$15,2,FALSE)</f>
        <v>Nameštaj za dnevnu sobu</v>
      </c>
      <c r="H42" t="str">
        <f>VLOOKUP(D42,[1]Proizvodi!$A$1:$F$15,3,FALSE)</f>
        <v>Tabure</v>
      </c>
      <c r="I42" t="s">
        <v>437</v>
      </c>
      <c r="J42" t="str">
        <f>VLOOKUP(A42,[1]Klijenti!$A$1:$F$11,2,FALSE)</f>
        <v>Prostor za Uživanje</v>
      </c>
      <c r="K42" t="str">
        <f>VLOOKUP(A42,[1]Klijenti!$A$1:$F$11,3,FALSE)</f>
        <v>Srbija</v>
      </c>
    </row>
    <row r="43" spans="1:11">
      <c r="A43" s="5">
        <v>108</v>
      </c>
      <c r="B43" s="15">
        <v>45359</v>
      </c>
      <c r="C43" s="5">
        <v>466126</v>
      </c>
      <c r="D43" s="5" t="s">
        <v>96</v>
      </c>
      <c r="E43" s="5">
        <v>46</v>
      </c>
      <c r="F43" s="32" t="s">
        <v>175</v>
      </c>
      <c r="G43" t="str">
        <f>VLOOKUP(D43,[1]Proizvodi!$A$1:$F$15,2,FALSE)</f>
        <v>Nameštaj za dnevnu sobu</v>
      </c>
      <c r="H43" t="str">
        <f>VLOOKUP(D43,[1]Proizvodi!$A$1:$F$15,3,FALSE)</f>
        <v>Ogledalo za zid</v>
      </c>
      <c r="I43" t="s">
        <v>433</v>
      </c>
      <c r="J43" t="str">
        <f>VLOOKUP(A43,[1]Klijenti!$A$1:$F$11,2,FALSE)</f>
        <v>Dom &amp; Dekor</v>
      </c>
      <c r="K43" t="str">
        <f>VLOOKUP(A43,[1]Klijenti!$A$1:$F$11,3,FALSE)</f>
        <v>Beogradski region</v>
      </c>
    </row>
    <row r="44" spans="1:11">
      <c r="A44" s="5">
        <v>151</v>
      </c>
      <c r="B44" s="15">
        <v>45306</v>
      </c>
      <c r="C44" s="5">
        <v>443480</v>
      </c>
      <c r="D44" s="5" t="s">
        <v>98</v>
      </c>
      <c r="E44" s="5">
        <v>50</v>
      </c>
      <c r="F44" s="32" t="s">
        <v>176</v>
      </c>
      <c r="G44" t="str">
        <f>VLOOKUP(D44,[1]Proizvodi!$A$1:$F$15,2,FALSE)</f>
        <v>Nameštaj za dnevnu sobu</v>
      </c>
      <c r="H44" t="str">
        <f>VLOOKUP(D44,[1]Proizvodi!$A$1:$F$15,3,FALSE)</f>
        <v>Tabure</v>
      </c>
      <c r="I44" t="s">
        <v>434</v>
      </c>
      <c r="J44" t="str">
        <f>VLOOKUP(A44,[1]Klijenti!$A$1:$F$11,2,FALSE)</f>
        <v>Estetski Kutak</v>
      </c>
      <c r="K44" t="str">
        <f>VLOOKUP(A44,[1]Klijenti!$A$1:$F$11,3,FALSE)</f>
        <v>Srbija</v>
      </c>
    </row>
    <row r="45" spans="1:11">
      <c r="A45" s="5">
        <v>157</v>
      </c>
      <c r="B45" s="15">
        <v>45299</v>
      </c>
      <c r="C45" s="5">
        <v>688897</v>
      </c>
      <c r="D45" s="5" t="s">
        <v>98</v>
      </c>
      <c r="E45" s="5">
        <v>25</v>
      </c>
      <c r="F45" s="32" t="s">
        <v>177</v>
      </c>
      <c r="G45" t="str">
        <f>VLOOKUP(D45,[1]Proizvodi!$A$1:$F$15,2,FALSE)</f>
        <v>Nameštaj za dnevnu sobu</v>
      </c>
      <c r="H45" t="str">
        <f>VLOOKUP(D45,[1]Proizvodi!$A$1:$F$15,3,FALSE)</f>
        <v>Tabure</v>
      </c>
      <c r="I45" t="s">
        <v>435</v>
      </c>
      <c r="J45" t="str">
        <f>VLOOKUP(A45,[1]Klijenti!$A$1:$F$11,2,FALSE)</f>
        <v>Stilski Stan</v>
      </c>
      <c r="K45" t="str">
        <f>VLOOKUP(A45,[1]Klijenti!$A$1:$F$11,3,FALSE)</f>
        <v>Vojvodina i Beograd</v>
      </c>
    </row>
    <row r="46" spans="1:11">
      <c r="A46" s="5">
        <v>195</v>
      </c>
      <c r="B46" s="15">
        <v>45321</v>
      </c>
      <c r="C46" s="5">
        <v>466126</v>
      </c>
      <c r="D46" s="5" t="s">
        <v>75</v>
      </c>
      <c r="E46" s="5">
        <v>5</v>
      </c>
      <c r="F46" s="32" t="s">
        <v>178</v>
      </c>
      <c r="G46" t="str">
        <f>VLOOKUP(D46,[1]Proizvodi!$A$1:$F$15,2,FALSE)</f>
        <v>Trpezarija</v>
      </c>
      <c r="H46" t="str">
        <f>VLOOKUP(D46,[1]Proizvodi!$A$1:$F$15,3,FALSE)</f>
        <v>Trpezarijski sto</v>
      </c>
      <c r="I46" t="s">
        <v>433</v>
      </c>
      <c r="J46" t="str">
        <f>VLOOKUP(A46,[1]Klijenti!$A$1:$F$11,2,FALSE)</f>
        <v>Moderni Dom</v>
      </c>
      <c r="K46" t="str">
        <f>VLOOKUP(A46,[1]Klijenti!$A$1:$F$11,3,FALSE)</f>
        <v>Srbija</v>
      </c>
    </row>
    <row r="47" spans="1:11">
      <c r="A47" s="5">
        <v>153</v>
      </c>
      <c r="B47" s="15">
        <v>45352</v>
      </c>
      <c r="C47" s="5">
        <v>688897</v>
      </c>
      <c r="D47" s="5" t="s">
        <v>86</v>
      </c>
      <c r="E47" s="5">
        <v>23</v>
      </c>
      <c r="F47" s="32" t="s">
        <v>179</v>
      </c>
      <c r="G47" t="str">
        <f>VLOOKUP(D47,[1]Proizvodi!$A$1:$F$15,2,FALSE)</f>
        <v>Nameštaj za spavaću sobu</v>
      </c>
      <c r="H47" t="str">
        <f>VLOOKUP(D47,[1]Proizvodi!$A$1:$F$15,3,FALSE)</f>
        <v>Noćni ormarić</v>
      </c>
      <c r="I47" t="s">
        <v>435</v>
      </c>
      <c r="J47" t="str">
        <f>VLOOKUP(A47,[1]Klijenti!$A$1:$F$11,2,FALSE)</f>
        <v>Udobni Kutak</v>
      </c>
      <c r="K47" t="str">
        <f>VLOOKUP(A47,[1]Klijenti!$A$1:$F$11,3,FALSE)</f>
        <v>Južni region</v>
      </c>
    </row>
    <row r="48" spans="1:11">
      <c r="A48" s="5">
        <v>157</v>
      </c>
      <c r="B48" s="15">
        <v>45358</v>
      </c>
      <c r="C48" s="5">
        <v>688897</v>
      </c>
      <c r="D48" s="5" t="s">
        <v>75</v>
      </c>
      <c r="E48" s="5">
        <v>23</v>
      </c>
      <c r="F48" s="32" t="s">
        <v>180</v>
      </c>
      <c r="G48" t="str">
        <f>VLOOKUP(D48,[1]Proizvodi!$A$1:$F$15,2,FALSE)</f>
        <v>Trpezarija</v>
      </c>
      <c r="H48" t="str">
        <f>VLOOKUP(D48,[1]Proizvodi!$A$1:$F$15,3,FALSE)</f>
        <v>Trpezarijski sto</v>
      </c>
      <c r="I48" t="s">
        <v>435</v>
      </c>
      <c r="J48" t="str">
        <f>VLOOKUP(A48,[1]Klijenti!$A$1:$F$11,2,FALSE)</f>
        <v>Stilski Stan</v>
      </c>
      <c r="K48" t="str">
        <f>VLOOKUP(A48,[1]Klijenti!$A$1:$F$11,3,FALSE)</f>
        <v>Vojvodina i Beograd</v>
      </c>
    </row>
    <row r="49" spans="1:11">
      <c r="A49" s="5">
        <v>152</v>
      </c>
      <c r="B49" s="15">
        <v>45364</v>
      </c>
      <c r="C49" s="5">
        <v>171444</v>
      </c>
      <c r="D49" s="5" t="s">
        <v>103</v>
      </c>
      <c r="E49" s="5">
        <v>2</v>
      </c>
      <c r="F49" s="32" t="s">
        <v>181</v>
      </c>
      <c r="G49" t="str">
        <f>VLOOKUP(D49,[1]Proizvodi!$A$1:$F$15,2,FALSE)</f>
        <v>Kuhinja</v>
      </c>
      <c r="H49" t="str">
        <f>VLOOKUP(D49,[1]Proizvodi!$A$1:$F$15,3,FALSE)</f>
        <v>Kuhinjsko ostrvo</v>
      </c>
      <c r="I49" t="s">
        <v>437</v>
      </c>
      <c r="J49" t="str">
        <f>VLOOKUP(A49,[1]Klijenti!$A$1:$F$11,2,FALSE)</f>
        <v>Prostor za Uživanje</v>
      </c>
      <c r="K49" t="str">
        <f>VLOOKUP(A49,[1]Klijenti!$A$1:$F$11,3,FALSE)</f>
        <v>Srbija</v>
      </c>
    </row>
    <row r="50" spans="1:11">
      <c r="A50" s="5">
        <v>152</v>
      </c>
      <c r="B50" s="15">
        <v>45305</v>
      </c>
      <c r="C50" s="5">
        <v>466126</v>
      </c>
      <c r="D50" s="5" t="s">
        <v>89</v>
      </c>
      <c r="E50" s="5">
        <v>49</v>
      </c>
      <c r="F50" s="32" t="s">
        <v>182</v>
      </c>
      <c r="G50" t="str">
        <f>VLOOKUP(D50,[1]Proizvodi!$A$1:$F$15,2,FALSE)</f>
        <v>Nameštaj za dnevnu sobu</v>
      </c>
      <c r="H50" t="str">
        <f>VLOOKUP(D50,[1]Proizvodi!$A$1:$F$15,3,FALSE)</f>
        <v>Komoda</v>
      </c>
      <c r="I50" t="s">
        <v>433</v>
      </c>
      <c r="J50" t="str">
        <f>VLOOKUP(A50,[1]Klijenti!$A$1:$F$11,2,FALSE)</f>
        <v>Prostor za Uživanje</v>
      </c>
      <c r="K50" t="str">
        <f>VLOOKUP(A50,[1]Klijenti!$A$1:$F$11,3,FALSE)</f>
        <v>Srbija</v>
      </c>
    </row>
    <row r="51" spans="1:11">
      <c r="A51" s="5">
        <v>163</v>
      </c>
      <c r="B51" s="15">
        <v>45336</v>
      </c>
      <c r="C51" s="5">
        <v>443480</v>
      </c>
      <c r="D51" s="5" t="s">
        <v>78</v>
      </c>
      <c r="E51" s="5">
        <v>36</v>
      </c>
      <c r="F51" s="32" t="s">
        <v>183</v>
      </c>
      <c r="G51" t="str">
        <f>VLOOKUP(D51,[1]Proizvodi!$A$1:$F$15,2,FALSE)</f>
        <v>Nameštaj za dnevnu sobu</v>
      </c>
      <c r="H51" t="str">
        <f>VLOOKUP(D51,[1]Proizvodi!$A$1:$F$15,3,FALSE)</f>
        <v>Rasklopiva fotelja</v>
      </c>
      <c r="I51" t="s">
        <v>434</v>
      </c>
      <c r="J51" t="str">
        <f>VLOOKUP(A51,[1]Klijenti!$A$1:$F$11,2,FALSE)</f>
        <v>Sofistikacija Doma</v>
      </c>
      <c r="K51" t="str">
        <f>VLOOKUP(A51,[1]Klijenti!$A$1:$F$11,3,FALSE)</f>
        <v>Šumadija</v>
      </c>
    </row>
    <row r="52" spans="1:11">
      <c r="A52" s="5">
        <v>179</v>
      </c>
      <c r="B52" s="15">
        <v>45368</v>
      </c>
      <c r="C52" s="5">
        <v>243994</v>
      </c>
      <c r="D52" s="5" t="s">
        <v>94</v>
      </c>
      <c r="E52" s="5">
        <v>45</v>
      </c>
      <c r="F52" s="32" t="s">
        <v>184</v>
      </c>
      <c r="G52" t="str">
        <f>VLOOKUP(D52,[1]Proizvodi!$A$1:$F$15,2,FALSE)</f>
        <v>Nameštaj za dnevnu sobu</v>
      </c>
      <c r="H52" t="str">
        <f>VLOOKUP(D52,[1]Proizvodi!$A$1:$F$15,3,FALSE)</f>
        <v>Polica za knjige</v>
      </c>
      <c r="I52" t="s">
        <v>436</v>
      </c>
      <c r="J52" t="str">
        <f>VLOOKUP(A52,[1]Klijenti!$A$1:$F$11,2,FALSE)</f>
        <v>Elegantni Enterijeri</v>
      </c>
      <c r="K52" t="str">
        <f>VLOOKUP(A52,[1]Klijenti!$A$1:$F$11,3,FALSE)</f>
        <v>Južni i Šumadijski region</v>
      </c>
    </row>
    <row r="53" spans="1:11">
      <c r="A53" s="5">
        <v>195</v>
      </c>
      <c r="B53" s="15">
        <v>45351</v>
      </c>
      <c r="C53" s="5">
        <v>466126</v>
      </c>
      <c r="D53" s="5" t="s">
        <v>94</v>
      </c>
      <c r="E53" s="5">
        <v>21</v>
      </c>
      <c r="F53" s="32" t="s">
        <v>185</v>
      </c>
      <c r="G53" t="str">
        <f>VLOOKUP(D53,[1]Proizvodi!$A$1:$F$15,2,FALSE)</f>
        <v>Nameštaj za dnevnu sobu</v>
      </c>
      <c r="H53" t="str">
        <f>VLOOKUP(D53,[1]Proizvodi!$A$1:$F$15,3,FALSE)</f>
        <v>Polica za knjige</v>
      </c>
      <c r="I53" t="s">
        <v>433</v>
      </c>
      <c r="J53" t="str">
        <f>VLOOKUP(A53,[1]Klijenti!$A$1:$F$11,2,FALSE)</f>
        <v>Moderni Dom</v>
      </c>
      <c r="K53" t="str">
        <f>VLOOKUP(A53,[1]Klijenti!$A$1:$F$11,3,FALSE)</f>
        <v>Srbija</v>
      </c>
    </row>
    <row r="54" spans="1:11">
      <c r="A54" s="5">
        <v>152</v>
      </c>
      <c r="B54" s="15">
        <v>45342</v>
      </c>
      <c r="C54" s="5">
        <v>171444</v>
      </c>
      <c r="D54" s="5" t="s">
        <v>103</v>
      </c>
      <c r="E54" s="5">
        <v>28</v>
      </c>
      <c r="F54" s="32" t="s">
        <v>186</v>
      </c>
      <c r="G54" t="str">
        <f>VLOOKUP(D54,[1]Proizvodi!$A$1:$F$15,2,FALSE)</f>
        <v>Kuhinja</v>
      </c>
      <c r="H54" t="str">
        <f>VLOOKUP(D54,[1]Proizvodi!$A$1:$F$15,3,FALSE)</f>
        <v>Kuhinjsko ostrvo</v>
      </c>
      <c r="I54" t="s">
        <v>437</v>
      </c>
      <c r="J54" t="str">
        <f>VLOOKUP(A54,[1]Klijenti!$A$1:$F$11,2,FALSE)</f>
        <v>Prostor za Uživanje</v>
      </c>
      <c r="K54" t="str">
        <f>VLOOKUP(A54,[1]Klijenti!$A$1:$F$11,3,FALSE)</f>
        <v>Srbija</v>
      </c>
    </row>
    <row r="55" spans="1:11">
      <c r="A55" s="5">
        <v>163</v>
      </c>
      <c r="B55" s="15">
        <v>45379</v>
      </c>
      <c r="C55" s="5">
        <v>443480</v>
      </c>
      <c r="D55" s="5" t="s">
        <v>100</v>
      </c>
      <c r="E55" s="5">
        <v>11</v>
      </c>
      <c r="F55" s="32" t="s">
        <v>187</v>
      </c>
      <c r="G55" t="str">
        <f>VLOOKUP(D55,[1]Proizvodi!$A$1:$F$15,2,FALSE)</f>
        <v>Kuhinja</v>
      </c>
      <c r="H55" t="str">
        <f>VLOOKUP(D55,[1]Proizvodi!$A$1:$F$15,3,FALSE)</f>
        <v>Viseća polica</v>
      </c>
      <c r="I55" t="s">
        <v>434</v>
      </c>
      <c r="J55" t="str">
        <f>VLOOKUP(A55,[1]Klijenti!$A$1:$F$11,2,FALSE)</f>
        <v>Sofistikacija Doma</v>
      </c>
      <c r="K55" t="str">
        <f>VLOOKUP(A55,[1]Klijenti!$A$1:$F$11,3,FALSE)</f>
        <v>Šumadija</v>
      </c>
    </row>
    <row r="56" spans="1:11">
      <c r="A56" s="5">
        <v>152</v>
      </c>
      <c r="B56" s="15">
        <v>45314</v>
      </c>
      <c r="C56" s="5">
        <v>171444</v>
      </c>
      <c r="D56" s="5" t="s">
        <v>94</v>
      </c>
      <c r="E56" s="5">
        <v>21</v>
      </c>
      <c r="F56" s="32" t="s">
        <v>188</v>
      </c>
      <c r="G56" t="str">
        <f>VLOOKUP(D56,[1]Proizvodi!$A$1:$F$15,2,FALSE)</f>
        <v>Nameštaj za dnevnu sobu</v>
      </c>
      <c r="H56" t="str">
        <f>VLOOKUP(D56,[1]Proizvodi!$A$1:$F$15,3,FALSE)</f>
        <v>Polica za knjige</v>
      </c>
      <c r="I56" t="s">
        <v>437</v>
      </c>
      <c r="J56" t="str">
        <f>VLOOKUP(A56,[1]Klijenti!$A$1:$F$11,2,FALSE)</f>
        <v>Prostor za Uživanje</v>
      </c>
      <c r="K56" t="str">
        <f>VLOOKUP(A56,[1]Klijenti!$A$1:$F$11,3,FALSE)</f>
        <v>Srbija</v>
      </c>
    </row>
    <row r="57" spans="1:11">
      <c r="A57" s="5">
        <v>195</v>
      </c>
      <c r="B57" s="15">
        <v>45377</v>
      </c>
      <c r="C57" s="5">
        <v>466126</v>
      </c>
      <c r="D57" s="5" t="s">
        <v>94</v>
      </c>
      <c r="E57" s="5">
        <v>16</v>
      </c>
      <c r="F57" s="32" t="s">
        <v>189</v>
      </c>
      <c r="G57" t="str">
        <f>VLOOKUP(D57,[1]Proizvodi!$A$1:$F$15,2,FALSE)</f>
        <v>Nameštaj za dnevnu sobu</v>
      </c>
      <c r="H57" t="str">
        <f>VLOOKUP(D57,[1]Proizvodi!$A$1:$F$15,3,FALSE)</f>
        <v>Polica za knjige</v>
      </c>
      <c r="I57" t="s">
        <v>433</v>
      </c>
      <c r="J57" t="str">
        <f>VLOOKUP(A57,[1]Klijenti!$A$1:$F$11,2,FALSE)</f>
        <v>Moderni Dom</v>
      </c>
      <c r="K57" t="str">
        <f>VLOOKUP(A57,[1]Klijenti!$A$1:$F$11,3,FALSE)</f>
        <v>Srbija</v>
      </c>
    </row>
    <row r="58" spans="1:11">
      <c r="A58" s="5">
        <v>157</v>
      </c>
      <c r="B58" s="15">
        <v>45331</v>
      </c>
      <c r="C58" s="5">
        <v>688897</v>
      </c>
      <c r="D58" s="5" t="s">
        <v>98</v>
      </c>
      <c r="E58" s="5">
        <v>16</v>
      </c>
      <c r="F58" s="32" t="s">
        <v>190</v>
      </c>
      <c r="G58" t="str">
        <f>VLOOKUP(D58,[1]Proizvodi!$A$1:$F$15,2,FALSE)</f>
        <v>Nameštaj za dnevnu sobu</v>
      </c>
      <c r="H58" t="str">
        <f>VLOOKUP(D58,[1]Proizvodi!$A$1:$F$15,3,FALSE)</f>
        <v>Tabure</v>
      </c>
      <c r="I58" t="s">
        <v>435</v>
      </c>
      <c r="J58" t="str">
        <f>VLOOKUP(A58,[1]Klijenti!$A$1:$F$11,2,FALSE)</f>
        <v>Stilski Stan</v>
      </c>
      <c r="K58" t="str">
        <f>VLOOKUP(A58,[1]Klijenti!$A$1:$F$11,3,FALSE)</f>
        <v>Vojvodina i Beograd</v>
      </c>
    </row>
    <row r="59" spans="1:11">
      <c r="A59" s="5">
        <v>127</v>
      </c>
      <c r="B59" s="15">
        <v>45323</v>
      </c>
      <c r="C59" s="5">
        <v>171444</v>
      </c>
      <c r="D59" s="5" t="s">
        <v>96</v>
      </c>
      <c r="E59" s="5">
        <v>19</v>
      </c>
      <c r="F59" s="32" t="s">
        <v>191</v>
      </c>
      <c r="G59" t="str">
        <f>VLOOKUP(D59,[1]Proizvodi!$A$1:$F$15,2,FALSE)</f>
        <v>Nameštaj za dnevnu sobu</v>
      </c>
      <c r="H59" t="str">
        <f>VLOOKUP(D59,[1]Proizvodi!$A$1:$F$15,3,FALSE)</f>
        <v>Ogledalo za zid</v>
      </c>
      <c r="I59" t="s">
        <v>437</v>
      </c>
      <c r="J59" t="str">
        <f>VLOOKUP(A59,[1]Klijenti!$A$1:$F$11,2,FALSE)</f>
        <v>Luksuzni Dizajn</v>
      </c>
      <c r="K59" t="str">
        <f>VLOOKUP(A59,[1]Klijenti!$A$1:$F$11,3,FALSE)</f>
        <v>Vojvodina</v>
      </c>
    </row>
    <row r="60" spans="1:11">
      <c r="A60" s="5">
        <v>108</v>
      </c>
      <c r="B60" s="15">
        <v>45350</v>
      </c>
      <c r="C60" s="5">
        <v>466126</v>
      </c>
      <c r="D60" s="5" t="s">
        <v>91</v>
      </c>
      <c r="E60" s="5">
        <v>40</v>
      </c>
      <c r="F60" s="32" t="s">
        <v>192</v>
      </c>
      <c r="G60" t="str">
        <f>VLOOKUP(D60,[1]Proizvodi!$A$1:$F$15,2,FALSE)</f>
        <v>Nameštaj za radnu sobu</v>
      </c>
      <c r="H60" t="str">
        <f>VLOOKUP(D60,[1]Proizvodi!$A$1:$F$15,3,FALSE)</f>
        <v>Radni sto</v>
      </c>
      <c r="I60" t="s">
        <v>433</v>
      </c>
      <c r="J60" t="str">
        <f>VLOOKUP(A60,[1]Klijenti!$A$1:$F$11,2,FALSE)</f>
        <v>Dom &amp; Dekor</v>
      </c>
      <c r="K60" t="str">
        <f>VLOOKUP(A60,[1]Klijenti!$A$1:$F$11,3,FALSE)</f>
        <v>Beogradski region</v>
      </c>
    </row>
    <row r="61" spans="1:11">
      <c r="A61" s="5">
        <v>127</v>
      </c>
      <c r="B61" s="15">
        <v>45358</v>
      </c>
      <c r="C61" s="5">
        <v>171444</v>
      </c>
      <c r="D61" s="5" t="s">
        <v>86</v>
      </c>
      <c r="E61" s="5">
        <v>20</v>
      </c>
      <c r="F61" s="32" t="s">
        <v>193</v>
      </c>
      <c r="G61" t="str">
        <f>VLOOKUP(D61,[1]Proizvodi!$A$1:$F$15,2,FALSE)</f>
        <v>Nameštaj za spavaću sobu</v>
      </c>
      <c r="H61" t="str">
        <f>VLOOKUP(D61,[1]Proizvodi!$A$1:$F$15,3,FALSE)</f>
        <v>Noćni ormarić</v>
      </c>
      <c r="I61" t="s">
        <v>437</v>
      </c>
      <c r="J61" t="str">
        <f>VLOOKUP(A61,[1]Klijenti!$A$1:$F$11,2,FALSE)</f>
        <v>Luksuzni Dizajn</v>
      </c>
      <c r="K61" t="str">
        <f>VLOOKUP(A61,[1]Klijenti!$A$1:$F$11,3,FALSE)</f>
        <v>Vojvodina</v>
      </c>
    </row>
    <row r="62" spans="1:11">
      <c r="A62" s="5">
        <v>152</v>
      </c>
      <c r="B62" s="15">
        <v>45327</v>
      </c>
      <c r="C62" s="5">
        <v>171444</v>
      </c>
      <c r="D62" s="5" t="s">
        <v>84</v>
      </c>
      <c r="E62" s="5">
        <v>47</v>
      </c>
      <c r="F62" s="32" t="s">
        <v>194</v>
      </c>
      <c r="G62" t="str">
        <f>VLOOKUP(D62,[1]Proizvodi!$A$1:$F$15,2,FALSE)</f>
        <v>Trpezarija</v>
      </c>
      <c r="H62" t="str">
        <f>VLOOKUP(D62,[1]Proizvodi!$A$1:$F$15,3,FALSE)</f>
        <v>Stolica za ručavanje</v>
      </c>
      <c r="I62" t="s">
        <v>437</v>
      </c>
      <c r="J62" t="str">
        <f>VLOOKUP(A62,[1]Klijenti!$A$1:$F$11,2,FALSE)</f>
        <v>Prostor za Uživanje</v>
      </c>
      <c r="K62" t="str">
        <f>VLOOKUP(A62,[1]Klijenti!$A$1:$F$11,3,FALSE)</f>
        <v>Srbija</v>
      </c>
    </row>
    <row r="63" spans="1:11">
      <c r="A63" s="5">
        <v>163</v>
      </c>
      <c r="B63" s="15">
        <v>45304</v>
      </c>
      <c r="C63" s="5">
        <v>443480</v>
      </c>
      <c r="D63" s="5" t="s">
        <v>91</v>
      </c>
      <c r="E63" s="5">
        <v>10</v>
      </c>
      <c r="F63" s="32" t="s">
        <v>195</v>
      </c>
      <c r="G63" t="str">
        <f>VLOOKUP(D63,[1]Proizvodi!$A$1:$F$15,2,FALSE)</f>
        <v>Nameštaj za radnu sobu</v>
      </c>
      <c r="H63" t="str">
        <f>VLOOKUP(D63,[1]Proizvodi!$A$1:$F$15,3,FALSE)</f>
        <v>Radni sto</v>
      </c>
      <c r="I63" t="s">
        <v>434</v>
      </c>
      <c r="J63" t="str">
        <f>VLOOKUP(A63,[1]Klijenti!$A$1:$F$11,2,FALSE)</f>
        <v>Sofistikacija Doma</v>
      </c>
      <c r="K63" t="str">
        <f>VLOOKUP(A63,[1]Klijenti!$A$1:$F$11,3,FALSE)</f>
        <v>Šumadija</v>
      </c>
    </row>
    <row r="64" spans="1:11">
      <c r="A64" s="5">
        <v>108</v>
      </c>
      <c r="B64" s="15">
        <v>45378</v>
      </c>
      <c r="C64" s="5">
        <v>466126</v>
      </c>
      <c r="D64" s="5" t="s">
        <v>78</v>
      </c>
      <c r="E64" s="5">
        <v>35</v>
      </c>
      <c r="F64" s="32" t="s">
        <v>196</v>
      </c>
      <c r="G64" t="str">
        <f>VLOOKUP(D64,[1]Proizvodi!$A$1:$F$15,2,FALSE)</f>
        <v>Nameštaj za dnevnu sobu</v>
      </c>
      <c r="H64" t="str">
        <f>VLOOKUP(D64,[1]Proizvodi!$A$1:$F$15,3,FALSE)</f>
        <v>Rasklopiva fotelja</v>
      </c>
      <c r="I64" t="s">
        <v>433</v>
      </c>
      <c r="J64" t="str">
        <f>VLOOKUP(A64,[1]Klijenti!$A$1:$F$11,2,FALSE)</f>
        <v>Dom &amp; Dekor</v>
      </c>
      <c r="K64" t="str">
        <f>VLOOKUP(A64,[1]Klijenti!$A$1:$F$11,3,FALSE)</f>
        <v>Beogradski region</v>
      </c>
    </row>
    <row r="65" spans="1:11">
      <c r="A65" s="5">
        <v>152</v>
      </c>
      <c r="B65" s="15">
        <v>45335</v>
      </c>
      <c r="C65" s="5">
        <v>171444</v>
      </c>
      <c r="D65" s="5" t="s">
        <v>75</v>
      </c>
      <c r="E65" s="5">
        <v>49</v>
      </c>
      <c r="F65" s="32" t="s">
        <v>197</v>
      </c>
      <c r="G65" t="str">
        <f>VLOOKUP(D65,[1]Proizvodi!$A$1:$F$15,2,FALSE)</f>
        <v>Trpezarija</v>
      </c>
      <c r="H65" t="str">
        <f>VLOOKUP(D65,[1]Proizvodi!$A$1:$F$15,3,FALSE)</f>
        <v>Trpezarijski sto</v>
      </c>
      <c r="I65" t="s">
        <v>437</v>
      </c>
      <c r="J65" t="str">
        <f>VLOOKUP(A65,[1]Klijenti!$A$1:$F$11,2,FALSE)</f>
        <v>Prostor za Uživanje</v>
      </c>
      <c r="K65" t="str">
        <f>VLOOKUP(A65,[1]Klijenti!$A$1:$F$11,3,FALSE)</f>
        <v>Srbija</v>
      </c>
    </row>
    <row r="66" spans="1:11">
      <c r="A66" s="5">
        <v>127</v>
      </c>
      <c r="B66" s="15">
        <v>45362</v>
      </c>
      <c r="C66" s="5">
        <v>171444</v>
      </c>
      <c r="D66" s="5" t="s">
        <v>82</v>
      </c>
      <c r="E66" s="5">
        <v>14</v>
      </c>
      <c r="F66" s="32" t="s">
        <v>198</v>
      </c>
      <c r="G66" t="str">
        <f>VLOOKUP(D66,[1]Proizvodi!$A$1:$F$15,2,FALSE)</f>
        <v>Nameštaj za dnevnu sobu</v>
      </c>
      <c r="H66" t="str">
        <f>VLOOKUP(D66,[1]Proizvodi!$A$1:$F$15,3,FALSE)</f>
        <v>Sofa</v>
      </c>
      <c r="I66" t="s">
        <v>437</v>
      </c>
      <c r="J66" t="str">
        <f>VLOOKUP(A66,[1]Klijenti!$A$1:$F$11,2,FALSE)</f>
        <v>Luksuzni Dizajn</v>
      </c>
      <c r="K66" t="str">
        <f>VLOOKUP(A66,[1]Klijenti!$A$1:$F$11,3,FALSE)</f>
        <v>Vojvodina</v>
      </c>
    </row>
    <row r="67" spans="1:11">
      <c r="A67" s="5">
        <v>163</v>
      </c>
      <c r="B67" s="15">
        <v>45374</v>
      </c>
      <c r="C67" s="5">
        <v>443480</v>
      </c>
      <c r="D67" s="5" t="s">
        <v>82</v>
      </c>
      <c r="E67" s="5">
        <v>21</v>
      </c>
      <c r="F67" s="32" t="s">
        <v>199</v>
      </c>
      <c r="G67" t="str">
        <f>VLOOKUP(D67,[1]Proizvodi!$A$1:$F$15,2,FALSE)</f>
        <v>Nameštaj za dnevnu sobu</v>
      </c>
      <c r="H67" t="str">
        <f>VLOOKUP(D67,[1]Proizvodi!$A$1:$F$15,3,FALSE)</f>
        <v>Sofa</v>
      </c>
      <c r="I67" t="s">
        <v>434</v>
      </c>
      <c r="J67" t="str">
        <f>VLOOKUP(A67,[1]Klijenti!$A$1:$F$11,2,FALSE)</f>
        <v>Sofistikacija Doma</v>
      </c>
      <c r="K67" t="str">
        <f>VLOOKUP(A67,[1]Klijenti!$A$1:$F$11,3,FALSE)</f>
        <v>Šumadija</v>
      </c>
    </row>
    <row r="68" spans="1:11">
      <c r="A68" s="5">
        <v>195</v>
      </c>
      <c r="B68" s="15">
        <v>45335</v>
      </c>
      <c r="C68" s="5">
        <v>466126</v>
      </c>
      <c r="D68" s="5" t="s">
        <v>75</v>
      </c>
      <c r="E68" s="5">
        <v>13</v>
      </c>
      <c r="F68" s="32" t="s">
        <v>200</v>
      </c>
      <c r="G68" t="str">
        <f>VLOOKUP(D68,[1]Proizvodi!$A$1:$F$15,2,FALSE)</f>
        <v>Trpezarija</v>
      </c>
      <c r="H68" t="str">
        <f>VLOOKUP(D68,[1]Proizvodi!$A$1:$F$15,3,FALSE)</f>
        <v>Trpezarijski sto</v>
      </c>
      <c r="I68" t="s">
        <v>433</v>
      </c>
      <c r="J68" t="str">
        <f>VLOOKUP(A68,[1]Klijenti!$A$1:$F$11,2,FALSE)</f>
        <v>Moderni Dom</v>
      </c>
      <c r="K68" t="str">
        <f>VLOOKUP(A68,[1]Klijenti!$A$1:$F$11,3,FALSE)</f>
        <v>Srbija</v>
      </c>
    </row>
    <row r="69" spans="1:11">
      <c r="A69" s="5">
        <v>153</v>
      </c>
      <c r="B69" s="15">
        <v>45358</v>
      </c>
      <c r="C69" s="5">
        <v>688897</v>
      </c>
      <c r="D69" s="5" t="s">
        <v>72</v>
      </c>
      <c r="E69" s="5">
        <v>10</v>
      </c>
      <c r="F69" s="32" t="s">
        <v>201</v>
      </c>
      <c r="G69" t="str">
        <f>VLOOKUP(D69,[1]Proizvodi!$A$1:$F$15,2,FALSE)</f>
        <v>Nameštaj za dnevnu sobu</v>
      </c>
      <c r="H69" t="str">
        <f>VLOOKUP(D69,[1]Proizvodi!$A$1:$F$15,3,FALSE)</f>
        <v>Klub sto</v>
      </c>
      <c r="I69" t="s">
        <v>435</v>
      </c>
      <c r="J69" t="str">
        <f>VLOOKUP(A69,[1]Klijenti!$A$1:$F$11,2,FALSE)</f>
        <v>Udobni Kutak</v>
      </c>
      <c r="K69" t="str">
        <f>VLOOKUP(A69,[1]Klijenti!$A$1:$F$11,3,FALSE)</f>
        <v>Južni region</v>
      </c>
    </row>
    <row r="70" spans="1:11">
      <c r="A70" s="5">
        <v>163</v>
      </c>
      <c r="B70" s="15">
        <v>45353</v>
      </c>
      <c r="C70" s="5">
        <v>443480</v>
      </c>
      <c r="D70" s="5" t="s">
        <v>86</v>
      </c>
      <c r="E70" s="5">
        <v>14</v>
      </c>
      <c r="F70" s="32" t="s">
        <v>202</v>
      </c>
      <c r="G70" t="str">
        <f>VLOOKUP(D70,[1]Proizvodi!$A$1:$F$15,2,FALSE)</f>
        <v>Nameštaj za spavaću sobu</v>
      </c>
      <c r="H70" t="str">
        <f>VLOOKUP(D70,[1]Proizvodi!$A$1:$F$15,3,FALSE)</f>
        <v>Noćni ormarić</v>
      </c>
      <c r="I70" t="s">
        <v>434</v>
      </c>
      <c r="J70" t="str">
        <f>VLOOKUP(A70,[1]Klijenti!$A$1:$F$11,2,FALSE)</f>
        <v>Sofistikacija Doma</v>
      </c>
      <c r="K70" t="str">
        <f>VLOOKUP(A70,[1]Klijenti!$A$1:$F$11,3,FALSE)</f>
        <v>Šumadija</v>
      </c>
    </row>
    <row r="71" spans="1:11">
      <c r="A71" s="5">
        <v>127</v>
      </c>
      <c r="B71" s="15">
        <v>45366</v>
      </c>
      <c r="C71" s="5">
        <v>171444</v>
      </c>
      <c r="D71" s="5" t="s">
        <v>78</v>
      </c>
      <c r="E71" s="5">
        <v>1</v>
      </c>
      <c r="F71" s="32" t="s">
        <v>203</v>
      </c>
      <c r="G71" t="str">
        <f>VLOOKUP(D71,[1]Proizvodi!$A$1:$F$15,2,FALSE)</f>
        <v>Nameštaj za dnevnu sobu</v>
      </c>
      <c r="H71" t="str">
        <f>VLOOKUP(D71,[1]Proizvodi!$A$1:$F$15,3,FALSE)</f>
        <v>Rasklopiva fotelja</v>
      </c>
      <c r="I71" t="s">
        <v>437</v>
      </c>
      <c r="J71" t="str">
        <f>VLOOKUP(A71,[1]Klijenti!$A$1:$F$11,2,FALSE)</f>
        <v>Luksuzni Dizajn</v>
      </c>
      <c r="K71" t="str">
        <f>VLOOKUP(A71,[1]Klijenti!$A$1:$F$11,3,FALSE)</f>
        <v>Vojvodina</v>
      </c>
    </row>
    <row r="72" spans="1:11">
      <c r="A72" s="5">
        <v>179</v>
      </c>
      <c r="B72" s="15">
        <v>45369</v>
      </c>
      <c r="C72" s="5">
        <v>243994</v>
      </c>
      <c r="D72" s="5" t="s">
        <v>80</v>
      </c>
      <c r="E72" s="5">
        <v>35</v>
      </c>
      <c r="F72" s="32" t="s">
        <v>204</v>
      </c>
      <c r="G72" t="str">
        <f>VLOOKUP(D72,[1]Proizvodi!$A$1:$F$15,2,FALSE)</f>
        <v>Nameštaj za dnevnu sobu</v>
      </c>
      <c r="H72" t="str">
        <f>VLOOKUP(D72,[1]Proizvodi!$A$1:$F$15,3,FALSE)</f>
        <v>Ormarić za TV</v>
      </c>
      <c r="I72" t="s">
        <v>436</v>
      </c>
      <c r="J72" t="str">
        <f>VLOOKUP(A72,[1]Klijenti!$A$1:$F$11,2,FALSE)</f>
        <v>Elegantni Enterijeri</v>
      </c>
      <c r="K72" t="str">
        <f>VLOOKUP(A72,[1]Klijenti!$A$1:$F$11,3,FALSE)</f>
        <v>Južni i Šumadijski region</v>
      </c>
    </row>
    <row r="73" spans="1:11">
      <c r="A73" s="5">
        <v>108</v>
      </c>
      <c r="B73" s="15">
        <v>45313</v>
      </c>
      <c r="C73" s="5">
        <v>466126</v>
      </c>
      <c r="D73" s="5" t="s">
        <v>82</v>
      </c>
      <c r="E73" s="5">
        <v>7</v>
      </c>
      <c r="F73" s="32" t="s">
        <v>205</v>
      </c>
      <c r="G73" t="str">
        <f>VLOOKUP(D73,[1]Proizvodi!$A$1:$F$15,2,FALSE)</f>
        <v>Nameštaj za dnevnu sobu</v>
      </c>
      <c r="H73" t="str">
        <f>VLOOKUP(D73,[1]Proizvodi!$A$1:$F$15,3,FALSE)</f>
        <v>Sofa</v>
      </c>
      <c r="I73" t="s">
        <v>433</v>
      </c>
      <c r="J73" t="str">
        <f>VLOOKUP(A73,[1]Klijenti!$A$1:$F$11,2,FALSE)</f>
        <v>Dom &amp; Dekor</v>
      </c>
      <c r="K73" t="str">
        <f>VLOOKUP(A73,[1]Klijenti!$A$1:$F$11,3,FALSE)</f>
        <v>Beogradski region</v>
      </c>
    </row>
    <row r="74" spans="1:11">
      <c r="A74" s="5">
        <v>157</v>
      </c>
      <c r="B74" s="15">
        <v>45293</v>
      </c>
      <c r="C74" s="5">
        <v>688897</v>
      </c>
      <c r="D74" s="5" t="s">
        <v>75</v>
      </c>
      <c r="E74" s="5">
        <v>29</v>
      </c>
      <c r="F74" s="32" t="s">
        <v>206</v>
      </c>
      <c r="G74" t="str">
        <f>VLOOKUP(D74,[1]Proizvodi!$A$1:$F$15,2,FALSE)</f>
        <v>Trpezarija</v>
      </c>
      <c r="H74" t="str">
        <f>VLOOKUP(D74,[1]Proizvodi!$A$1:$F$15,3,FALSE)</f>
        <v>Trpezarijski sto</v>
      </c>
      <c r="I74" t="s">
        <v>435</v>
      </c>
      <c r="J74" t="str">
        <f>VLOOKUP(A74,[1]Klijenti!$A$1:$F$11,2,FALSE)</f>
        <v>Stilski Stan</v>
      </c>
      <c r="K74" t="str">
        <f>VLOOKUP(A74,[1]Klijenti!$A$1:$F$11,3,FALSE)</f>
        <v>Vojvodina i Beograd</v>
      </c>
    </row>
    <row r="75" spans="1:11">
      <c r="A75" s="5">
        <v>151</v>
      </c>
      <c r="B75" s="15">
        <v>45324</v>
      </c>
      <c r="C75" s="5">
        <v>443480</v>
      </c>
      <c r="D75" s="5" t="s">
        <v>103</v>
      </c>
      <c r="E75" s="5">
        <v>46</v>
      </c>
      <c r="F75" s="32" t="s">
        <v>207</v>
      </c>
      <c r="G75" t="str">
        <f>VLOOKUP(D75,[1]Proizvodi!$A$1:$F$15,2,FALSE)</f>
        <v>Kuhinja</v>
      </c>
      <c r="H75" t="str">
        <f>VLOOKUP(D75,[1]Proizvodi!$A$1:$F$15,3,FALSE)</f>
        <v>Kuhinjsko ostrvo</v>
      </c>
      <c r="I75" t="s">
        <v>434</v>
      </c>
      <c r="J75" t="str">
        <f>VLOOKUP(A75,[1]Klijenti!$A$1:$F$11,2,FALSE)</f>
        <v>Estetski Kutak</v>
      </c>
      <c r="K75" t="str">
        <f>VLOOKUP(A75,[1]Klijenti!$A$1:$F$11,3,FALSE)</f>
        <v>Srbija</v>
      </c>
    </row>
    <row r="76" spans="1:11">
      <c r="A76" s="5">
        <v>157</v>
      </c>
      <c r="B76" s="15">
        <v>45306</v>
      </c>
      <c r="C76" s="5">
        <v>688897</v>
      </c>
      <c r="D76" s="5" t="s">
        <v>84</v>
      </c>
      <c r="E76" s="5">
        <v>28</v>
      </c>
      <c r="F76" s="32" t="s">
        <v>208</v>
      </c>
      <c r="G76" t="str">
        <f>VLOOKUP(D76,[1]Proizvodi!$A$1:$F$15,2,FALSE)</f>
        <v>Trpezarija</v>
      </c>
      <c r="H76" t="str">
        <f>VLOOKUP(D76,[1]Proizvodi!$A$1:$F$15,3,FALSE)</f>
        <v>Stolica za ručavanje</v>
      </c>
      <c r="I76" t="s">
        <v>435</v>
      </c>
      <c r="J76" t="str">
        <f>VLOOKUP(A76,[1]Klijenti!$A$1:$F$11,2,FALSE)</f>
        <v>Stilski Stan</v>
      </c>
      <c r="K76" t="str">
        <f>VLOOKUP(A76,[1]Klijenti!$A$1:$F$11,3,FALSE)</f>
        <v>Vojvodina i Beograd</v>
      </c>
    </row>
    <row r="77" spans="1:11">
      <c r="A77" s="5">
        <v>186</v>
      </c>
      <c r="B77" s="15">
        <v>45316</v>
      </c>
      <c r="C77" s="5">
        <v>243994</v>
      </c>
      <c r="D77" s="5" t="s">
        <v>86</v>
      </c>
      <c r="E77" s="5">
        <v>35</v>
      </c>
      <c r="F77" s="32" t="s">
        <v>209</v>
      </c>
      <c r="G77" t="str">
        <f>VLOOKUP(D77,[1]Proizvodi!$A$1:$F$15,2,FALSE)</f>
        <v>Nameštaj za spavaću sobu</v>
      </c>
      <c r="H77" t="str">
        <f>VLOOKUP(D77,[1]Proizvodi!$A$1:$F$15,3,FALSE)</f>
        <v>Noćni ormarić</v>
      </c>
      <c r="I77" t="s">
        <v>436</v>
      </c>
      <c r="J77" t="str">
        <f>VLOOKUP(A77,[1]Klijenti!$A$1:$F$11,2,FALSE)</f>
        <v>Kuća- Uređenje i Dizajn</v>
      </c>
      <c r="K77" t="str">
        <f>VLOOKUP(A77,[1]Klijenti!$A$1:$F$11,3,FALSE)</f>
        <v>Beogradski region</v>
      </c>
    </row>
    <row r="78" spans="1:11">
      <c r="A78" s="5">
        <v>186</v>
      </c>
      <c r="B78" s="15">
        <v>45373</v>
      </c>
      <c r="C78" s="5">
        <v>466126</v>
      </c>
      <c r="D78" s="5" t="s">
        <v>100</v>
      </c>
      <c r="E78" s="5">
        <v>31</v>
      </c>
      <c r="F78" s="32" t="s">
        <v>210</v>
      </c>
      <c r="G78" t="str">
        <f>VLOOKUP(D78,[1]Proizvodi!$A$1:$F$15,2,FALSE)</f>
        <v>Kuhinja</v>
      </c>
      <c r="H78" t="str">
        <f>VLOOKUP(D78,[1]Proizvodi!$A$1:$F$15,3,FALSE)</f>
        <v>Viseća polica</v>
      </c>
      <c r="I78" t="s">
        <v>433</v>
      </c>
      <c r="J78" t="str">
        <f>VLOOKUP(A78,[1]Klijenti!$A$1:$F$11,2,FALSE)</f>
        <v>Kuća- Uređenje i Dizajn</v>
      </c>
      <c r="K78" t="str">
        <f>VLOOKUP(A78,[1]Klijenti!$A$1:$F$11,3,FALSE)</f>
        <v>Beogradski region</v>
      </c>
    </row>
    <row r="79" spans="1:11">
      <c r="A79" s="5">
        <v>152</v>
      </c>
      <c r="B79" s="15">
        <v>45375</v>
      </c>
      <c r="C79" s="5">
        <v>171444</v>
      </c>
      <c r="D79" s="5" t="s">
        <v>94</v>
      </c>
      <c r="E79" s="5">
        <v>24</v>
      </c>
      <c r="F79" s="32" t="s">
        <v>211</v>
      </c>
      <c r="G79" t="str">
        <f>VLOOKUP(D79,[1]Proizvodi!$A$1:$F$15,2,FALSE)</f>
        <v>Nameštaj za dnevnu sobu</v>
      </c>
      <c r="H79" t="str">
        <f>VLOOKUP(D79,[1]Proizvodi!$A$1:$F$15,3,FALSE)</f>
        <v>Polica za knjige</v>
      </c>
      <c r="I79" t="s">
        <v>437</v>
      </c>
      <c r="J79" t="str">
        <f>VLOOKUP(A79,[1]Klijenti!$A$1:$F$11,2,FALSE)</f>
        <v>Prostor za Uživanje</v>
      </c>
      <c r="K79" t="str">
        <f>VLOOKUP(A79,[1]Klijenti!$A$1:$F$11,3,FALSE)</f>
        <v>Srbija</v>
      </c>
    </row>
    <row r="80" spans="1:11">
      <c r="A80" s="5">
        <v>195</v>
      </c>
      <c r="B80" s="15">
        <v>45292</v>
      </c>
      <c r="C80" s="5">
        <v>466126</v>
      </c>
      <c r="D80" s="5" t="s">
        <v>103</v>
      </c>
      <c r="E80" s="5">
        <v>45</v>
      </c>
      <c r="F80" s="32" t="s">
        <v>212</v>
      </c>
      <c r="G80" t="str">
        <f>VLOOKUP(D80,[1]Proizvodi!$A$1:$F$15,2,FALSE)</f>
        <v>Kuhinja</v>
      </c>
      <c r="H80" t="str">
        <f>VLOOKUP(D80,[1]Proizvodi!$A$1:$F$15,3,FALSE)</f>
        <v>Kuhinjsko ostrvo</v>
      </c>
      <c r="I80" t="s">
        <v>433</v>
      </c>
      <c r="J80" t="str">
        <f>VLOOKUP(A80,[1]Klijenti!$A$1:$F$11,2,FALSE)</f>
        <v>Moderni Dom</v>
      </c>
      <c r="K80" t="str">
        <f>VLOOKUP(A80,[1]Klijenti!$A$1:$F$11,3,FALSE)</f>
        <v>Srbija</v>
      </c>
    </row>
    <row r="81" spans="1:11">
      <c r="A81" s="5">
        <v>195</v>
      </c>
      <c r="B81" s="15">
        <v>45330</v>
      </c>
      <c r="C81" s="5">
        <v>466126</v>
      </c>
      <c r="D81" s="5" t="s">
        <v>103</v>
      </c>
      <c r="E81" s="5">
        <v>46</v>
      </c>
      <c r="F81" s="32" t="s">
        <v>213</v>
      </c>
      <c r="G81" t="str">
        <f>VLOOKUP(D81,[1]Proizvodi!$A$1:$F$15,2,FALSE)</f>
        <v>Kuhinja</v>
      </c>
      <c r="H81" t="str">
        <f>VLOOKUP(D81,[1]Proizvodi!$A$1:$F$15,3,FALSE)</f>
        <v>Kuhinjsko ostrvo</v>
      </c>
      <c r="I81" t="s">
        <v>433</v>
      </c>
      <c r="J81" t="str">
        <f>VLOOKUP(A81,[1]Klijenti!$A$1:$F$11,2,FALSE)</f>
        <v>Moderni Dom</v>
      </c>
      <c r="K81" t="str">
        <f>VLOOKUP(A81,[1]Klijenti!$A$1:$F$11,3,FALSE)</f>
        <v>Srbija</v>
      </c>
    </row>
    <row r="82" spans="1:11">
      <c r="A82" s="5">
        <v>186</v>
      </c>
      <c r="B82" s="15">
        <v>45332</v>
      </c>
      <c r="C82" s="5">
        <v>243994</v>
      </c>
      <c r="D82" s="5" t="s">
        <v>72</v>
      </c>
      <c r="E82" s="5">
        <v>12</v>
      </c>
      <c r="F82" s="32" t="s">
        <v>214</v>
      </c>
      <c r="G82" t="str">
        <f>VLOOKUP(D82,[1]Proizvodi!$A$1:$F$15,2,FALSE)</f>
        <v>Nameštaj za dnevnu sobu</v>
      </c>
      <c r="H82" t="str">
        <f>VLOOKUP(D82,[1]Proizvodi!$A$1:$F$15,3,FALSE)</f>
        <v>Klub sto</v>
      </c>
      <c r="I82" t="s">
        <v>436</v>
      </c>
      <c r="J82" t="str">
        <f>VLOOKUP(A82,[1]Klijenti!$A$1:$F$11,2,FALSE)</f>
        <v>Kuća- Uređenje i Dizajn</v>
      </c>
      <c r="K82" t="str">
        <f>VLOOKUP(A82,[1]Klijenti!$A$1:$F$11,3,FALSE)</f>
        <v>Beogradski region</v>
      </c>
    </row>
    <row r="83" spans="1:11">
      <c r="A83" s="5">
        <v>108</v>
      </c>
      <c r="B83" s="15">
        <v>45342</v>
      </c>
      <c r="C83" s="5">
        <v>466126</v>
      </c>
      <c r="D83" s="5" t="s">
        <v>78</v>
      </c>
      <c r="E83" s="5">
        <v>9</v>
      </c>
      <c r="F83" s="32" t="s">
        <v>215</v>
      </c>
      <c r="G83" t="str">
        <f>VLOOKUP(D83,[1]Proizvodi!$A$1:$F$15,2,FALSE)</f>
        <v>Nameštaj za dnevnu sobu</v>
      </c>
      <c r="H83" t="str">
        <f>VLOOKUP(D83,[1]Proizvodi!$A$1:$F$15,3,FALSE)</f>
        <v>Rasklopiva fotelja</v>
      </c>
      <c r="I83" t="s">
        <v>433</v>
      </c>
      <c r="J83" t="str">
        <f>VLOOKUP(A83,[1]Klijenti!$A$1:$F$11,2,FALSE)</f>
        <v>Dom &amp; Dekor</v>
      </c>
      <c r="K83" t="str">
        <f>VLOOKUP(A83,[1]Klijenti!$A$1:$F$11,3,FALSE)</f>
        <v>Beogradski region</v>
      </c>
    </row>
    <row r="84" spans="1:11">
      <c r="A84" s="5">
        <v>157</v>
      </c>
      <c r="B84" s="15">
        <v>45329</v>
      </c>
      <c r="C84" s="5">
        <v>688897</v>
      </c>
      <c r="D84" s="5" t="s">
        <v>103</v>
      </c>
      <c r="E84" s="5">
        <v>39</v>
      </c>
      <c r="F84" s="32" t="s">
        <v>216</v>
      </c>
      <c r="G84" t="str">
        <f>VLOOKUP(D84,[1]Proizvodi!$A$1:$F$15,2,FALSE)</f>
        <v>Kuhinja</v>
      </c>
      <c r="H84" t="str">
        <f>VLOOKUP(D84,[1]Proizvodi!$A$1:$F$15,3,FALSE)</f>
        <v>Kuhinjsko ostrvo</v>
      </c>
      <c r="I84" t="s">
        <v>435</v>
      </c>
      <c r="J84" t="str">
        <f>VLOOKUP(A84,[1]Klijenti!$A$1:$F$11,2,FALSE)</f>
        <v>Stilski Stan</v>
      </c>
      <c r="K84" t="str">
        <f>VLOOKUP(A84,[1]Klijenti!$A$1:$F$11,3,FALSE)</f>
        <v>Vojvodina i Beograd</v>
      </c>
    </row>
    <row r="85" spans="1:11">
      <c r="A85" s="5">
        <v>151</v>
      </c>
      <c r="B85" s="15">
        <v>45356</v>
      </c>
      <c r="C85" s="5">
        <v>443480</v>
      </c>
      <c r="D85" s="5" t="s">
        <v>89</v>
      </c>
      <c r="E85" s="5">
        <v>47</v>
      </c>
      <c r="F85" s="32" t="s">
        <v>217</v>
      </c>
      <c r="G85" t="str">
        <f>VLOOKUP(D85,[1]Proizvodi!$A$1:$F$15,2,FALSE)</f>
        <v>Nameštaj za dnevnu sobu</v>
      </c>
      <c r="H85" t="str">
        <f>VLOOKUP(D85,[1]Proizvodi!$A$1:$F$15,3,FALSE)</f>
        <v>Komoda</v>
      </c>
      <c r="I85" t="s">
        <v>434</v>
      </c>
      <c r="J85" t="str">
        <f>VLOOKUP(A85,[1]Klijenti!$A$1:$F$11,2,FALSE)</f>
        <v>Estetski Kutak</v>
      </c>
      <c r="K85" t="str">
        <f>VLOOKUP(A85,[1]Klijenti!$A$1:$F$11,3,FALSE)</f>
        <v>Srbija</v>
      </c>
    </row>
    <row r="86" spans="1:11">
      <c r="A86" s="5">
        <v>186</v>
      </c>
      <c r="B86" s="15">
        <v>45313</v>
      </c>
      <c r="C86" s="5">
        <v>243994</v>
      </c>
      <c r="D86" s="5" t="s">
        <v>82</v>
      </c>
      <c r="E86" s="5">
        <v>28</v>
      </c>
      <c r="F86" s="32" t="s">
        <v>218</v>
      </c>
      <c r="G86" t="str">
        <f>VLOOKUP(D86,[1]Proizvodi!$A$1:$F$15,2,FALSE)</f>
        <v>Nameštaj za dnevnu sobu</v>
      </c>
      <c r="H86" t="str">
        <f>VLOOKUP(D86,[1]Proizvodi!$A$1:$F$15,3,FALSE)</f>
        <v>Sofa</v>
      </c>
      <c r="I86" t="s">
        <v>436</v>
      </c>
      <c r="J86" t="str">
        <f>VLOOKUP(A86,[1]Klijenti!$A$1:$F$11,2,FALSE)</f>
        <v>Kuća- Uređenje i Dizajn</v>
      </c>
      <c r="K86" t="str">
        <f>VLOOKUP(A86,[1]Klijenti!$A$1:$F$11,3,FALSE)</f>
        <v>Beogradski region</v>
      </c>
    </row>
    <row r="87" spans="1:11">
      <c r="A87" s="5">
        <v>151</v>
      </c>
      <c r="B87" s="15">
        <v>45294</v>
      </c>
      <c r="C87" s="5">
        <v>443480</v>
      </c>
      <c r="D87" s="5" t="s">
        <v>75</v>
      </c>
      <c r="E87" s="5">
        <v>9</v>
      </c>
      <c r="F87" s="32" t="s">
        <v>219</v>
      </c>
      <c r="G87" t="str">
        <f>VLOOKUP(D87,[1]Proizvodi!$A$1:$F$15,2,FALSE)</f>
        <v>Trpezarija</v>
      </c>
      <c r="H87" t="str">
        <f>VLOOKUP(D87,[1]Proizvodi!$A$1:$F$15,3,FALSE)</f>
        <v>Trpezarijski sto</v>
      </c>
      <c r="I87" t="s">
        <v>434</v>
      </c>
      <c r="J87" t="str">
        <f>VLOOKUP(A87,[1]Klijenti!$A$1:$F$11,2,FALSE)</f>
        <v>Estetski Kutak</v>
      </c>
      <c r="K87" t="str">
        <f>VLOOKUP(A87,[1]Klijenti!$A$1:$F$11,3,FALSE)</f>
        <v>Srbija</v>
      </c>
    </row>
    <row r="88" spans="1:11">
      <c r="A88" s="5">
        <v>127</v>
      </c>
      <c r="B88" s="15">
        <v>45379</v>
      </c>
      <c r="C88" s="5">
        <v>466126</v>
      </c>
      <c r="D88" s="5" t="s">
        <v>86</v>
      </c>
      <c r="E88" s="5">
        <v>22</v>
      </c>
      <c r="F88" s="32" t="s">
        <v>220</v>
      </c>
      <c r="G88" t="str">
        <f>VLOOKUP(D88,[1]Proizvodi!$A$1:$F$15,2,FALSE)</f>
        <v>Nameštaj za spavaću sobu</v>
      </c>
      <c r="H88" t="str">
        <f>VLOOKUP(D88,[1]Proizvodi!$A$1:$F$15,3,FALSE)</f>
        <v>Noćni ormarić</v>
      </c>
      <c r="I88" t="s">
        <v>433</v>
      </c>
      <c r="J88" t="str">
        <f>VLOOKUP(A88,[1]Klijenti!$A$1:$F$11,2,FALSE)</f>
        <v>Luksuzni Dizajn</v>
      </c>
      <c r="K88" t="str">
        <f>VLOOKUP(A88,[1]Klijenti!$A$1:$F$11,3,FALSE)</f>
        <v>Vojvodina</v>
      </c>
    </row>
    <row r="89" spans="1:11">
      <c r="A89" s="5">
        <v>179</v>
      </c>
      <c r="B89" s="15">
        <v>45295</v>
      </c>
      <c r="C89" s="5">
        <v>243994</v>
      </c>
      <c r="D89" s="5" t="s">
        <v>75</v>
      </c>
      <c r="E89" s="5">
        <v>14</v>
      </c>
      <c r="F89" s="32" t="s">
        <v>221</v>
      </c>
      <c r="G89" t="str">
        <f>VLOOKUP(D89,[1]Proizvodi!$A$1:$F$15,2,FALSE)</f>
        <v>Trpezarija</v>
      </c>
      <c r="H89" t="str">
        <f>VLOOKUP(D89,[1]Proizvodi!$A$1:$F$15,3,FALSE)</f>
        <v>Trpezarijski sto</v>
      </c>
      <c r="I89" t="s">
        <v>436</v>
      </c>
      <c r="J89" t="str">
        <f>VLOOKUP(A89,[1]Klijenti!$A$1:$F$11,2,FALSE)</f>
        <v>Elegantni Enterijeri</v>
      </c>
      <c r="K89" t="str">
        <f>VLOOKUP(A89,[1]Klijenti!$A$1:$F$11,3,FALSE)</f>
        <v>Južni i Šumadijski region</v>
      </c>
    </row>
    <row r="90" spans="1:11">
      <c r="A90" s="5">
        <v>163</v>
      </c>
      <c r="B90" s="15">
        <v>45306</v>
      </c>
      <c r="C90" s="5">
        <v>443480</v>
      </c>
      <c r="D90" s="5" t="s">
        <v>82</v>
      </c>
      <c r="E90" s="5">
        <v>47</v>
      </c>
      <c r="F90" s="32" t="s">
        <v>222</v>
      </c>
      <c r="G90" t="str">
        <f>VLOOKUP(D90,[1]Proizvodi!$A$1:$F$15,2,FALSE)</f>
        <v>Nameštaj za dnevnu sobu</v>
      </c>
      <c r="H90" t="str">
        <f>VLOOKUP(D90,[1]Proizvodi!$A$1:$F$15,3,FALSE)</f>
        <v>Sofa</v>
      </c>
      <c r="I90" t="s">
        <v>434</v>
      </c>
      <c r="J90" t="str">
        <f>VLOOKUP(A90,[1]Klijenti!$A$1:$F$11,2,FALSE)</f>
        <v>Sofistikacija Doma</v>
      </c>
      <c r="K90" t="str">
        <f>VLOOKUP(A90,[1]Klijenti!$A$1:$F$11,3,FALSE)</f>
        <v>Šumadija</v>
      </c>
    </row>
    <row r="91" spans="1:11">
      <c r="A91" s="5">
        <v>153</v>
      </c>
      <c r="B91" s="15">
        <v>45365</v>
      </c>
      <c r="C91" s="5">
        <v>688897</v>
      </c>
      <c r="D91" s="5" t="s">
        <v>78</v>
      </c>
      <c r="E91" s="5">
        <v>49</v>
      </c>
      <c r="F91" s="32" t="s">
        <v>223</v>
      </c>
      <c r="G91" t="str">
        <f>VLOOKUP(D91,[1]Proizvodi!$A$1:$F$15,2,FALSE)</f>
        <v>Nameštaj za dnevnu sobu</v>
      </c>
      <c r="H91" t="str">
        <f>VLOOKUP(D91,[1]Proizvodi!$A$1:$F$15,3,FALSE)</f>
        <v>Rasklopiva fotelja</v>
      </c>
      <c r="I91" t="s">
        <v>435</v>
      </c>
      <c r="J91" t="str">
        <f>VLOOKUP(A91,[1]Klijenti!$A$1:$F$11,2,FALSE)</f>
        <v>Udobni Kutak</v>
      </c>
      <c r="K91" t="str">
        <f>VLOOKUP(A91,[1]Klijenti!$A$1:$F$11,3,FALSE)</f>
        <v>Južni region</v>
      </c>
    </row>
    <row r="92" spans="1:11">
      <c r="A92" s="5">
        <v>186</v>
      </c>
      <c r="B92" s="15">
        <v>45342</v>
      </c>
      <c r="C92" s="5">
        <v>243994</v>
      </c>
      <c r="D92" s="5" t="s">
        <v>96</v>
      </c>
      <c r="E92" s="5">
        <v>39</v>
      </c>
      <c r="F92" s="32" t="s">
        <v>224</v>
      </c>
      <c r="G92" t="str">
        <f>VLOOKUP(D92,[1]Proizvodi!$A$1:$F$15,2,FALSE)</f>
        <v>Nameštaj za dnevnu sobu</v>
      </c>
      <c r="H92" t="str">
        <f>VLOOKUP(D92,[1]Proizvodi!$A$1:$F$15,3,FALSE)</f>
        <v>Ogledalo za zid</v>
      </c>
      <c r="I92" t="s">
        <v>436</v>
      </c>
      <c r="J92" t="str">
        <f>VLOOKUP(A92,[1]Klijenti!$A$1:$F$11,2,FALSE)</f>
        <v>Kuća- Uređenje i Dizajn</v>
      </c>
      <c r="K92" t="str">
        <f>VLOOKUP(A92,[1]Klijenti!$A$1:$F$11,3,FALSE)</f>
        <v>Beogradski region</v>
      </c>
    </row>
    <row r="93" spans="1:11">
      <c r="A93" s="5">
        <v>108</v>
      </c>
      <c r="B93" s="15">
        <v>45332</v>
      </c>
      <c r="C93" s="5">
        <v>466126</v>
      </c>
      <c r="D93" s="5" t="s">
        <v>72</v>
      </c>
      <c r="E93" s="5">
        <v>41</v>
      </c>
      <c r="F93" s="32" t="s">
        <v>225</v>
      </c>
      <c r="G93" t="str">
        <f>VLOOKUP(D93,[1]Proizvodi!$A$1:$F$15,2,FALSE)</f>
        <v>Nameštaj za dnevnu sobu</v>
      </c>
      <c r="H93" t="str">
        <f>VLOOKUP(D93,[1]Proizvodi!$A$1:$F$15,3,FALSE)</f>
        <v>Klub sto</v>
      </c>
      <c r="I93" t="s">
        <v>433</v>
      </c>
      <c r="J93" t="str">
        <f>VLOOKUP(A93,[1]Klijenti!$A$1:$F$11,2,FALSE)</f>
        <v>Dom &amp; Dekor</v>
      </c>
      <c r="K93" t="str">
        <f>VLOOKUP(A93,[1]Klijenti!$A$1:$F$11,3,FALSE)</f>
        <v>Beogradski region</v>
      </c>
    </row>
    <row r="94" spans="1:11">
      <c r="A94" s="5">
        <v>186</v>
      </c>
      <c r="B94" s="15">
        <v>45324</v>
      </c>
      <c r="C94" s="5">
        <v>243994</v>
      </c>
      <c r="D94" s="5" t="s">
        <v>78</v>
      </c>
      <c r="E94" s="5">
        <v>50</v>
      </c>
      <c r="F94" s="32" t="s">
        <v>226</v>
      </c>
      <c r="G94" t="str">
        <f>VLOOKUP(D94,[1]Proizvodi!$A$1:$F$15,2,FALSE)</f>
        <v>Nameštaj za dnevnu sobu</v>
      </c>
      <c r="H94" t="str">
        <f>VLOOKUP(D94,[1]Proizvodi!$A$1:$F$15,3,FALSE)</f>
        <v>Rasklopiva fotelja</v>
      </c>
      <c r="I94" t="s">
        <v>436</v>
      </c>
      <c r="J94" t="str">
        <f>VLOOKUP(A94,[1]Klijenti!$A$1:$F$11,2,FALSE)</f>
        <v>Kuća- Uređenje i Dizajn</v>
      </c>
      <c r="K94" t="str">
        <f>VLOOKUP(A94,[1]Klijenti!$A$1:$F$11,3,FALSE)</f>
        <v>Beogradski region</v>
      </c>
    </row>
    <row r="95" spans="1:11">
      <c r="A95" s="5">
        <v>179</v>
      </c>
      <c r="B95" s="15">
        <v>45311</v>
      </c>
      <c r="C95" s="5">
        <v>243994</v>
      </c>
      <c r="D95" s="5" t="s">
        <v>80</v>
      </c>
      <c r="E95" s="5">
        <v>33</v>
      </c>
      <c r="F95" s="32" t="s">
        <v>227</v>
      </c>
      <c r="G95" t="str">
        <f>VLOOKUP(D95,[1]Proizvodi!$A$1:$F$15,2,FALSE)</f>
        <v>Nameštaj za dnevnu sobu</v>
      </c>
      <c r="H95" t="str">
        <f>VLOOKUP(D95,[1]Proizvodi!$A$1:$F$15,3,FALSE)</f>
        <v>Ormarić za TV</v>
      </c>
      <c r="I95" t="s">
        <v>436</v>
      </c>
      <c r="J95" t="str">
        <f>VLOOKUP(A95,[1]Klijenti!$A$1:$F$11,2,FALSE)</f>
        <v>Elegantni Enterijeri</v>
      </c>
      <c r="K95" t="str">
        <f>VLOOKUP(A95,[1]Klijenti!$A$1:$F$11,3,FALSE)</f>
        <v>Južni i Šumadijski region</v>
      </c>
    </row>
    <row r="96" spans="1:11">
      <c r="A96" s="5">
        <v>186</v>
      </c>
      <c r="B96" s="15">
        <v>45346</v>
      </c>
      <c r="C96" s="5">
        <v>243994</v>
      </c>
      <c r="D96" s="5" t="s">
        <v>100</v>
      </c>
      <c r="E96" s="5">
        <v>46</v>
      </c>
      <c r="F96" s="32" t="s">
        <v>228</v>
      </c>
      <c r="G96" t="str">
        <f>VLOOKUP(D96,[1]Proizvodi!$A$1:$F$15,2,FALSE)</f>
        <v>Kuhinja</v>
      </c>
      <c r="H96" t="str">
        <f>VLOOKUP(D96,[1]Proizvodi!$A$1:$F$15,3,FALSE)</f>
        <v>Viseća polica</v>
      </c>
      <c r="I96" t="s">
        <v>436</v>
      </c>
      <c r="J96" t="str">
        <f>VLOOKUP(A96,[1]Klijenti!$A$1:$F$11,2,FALSE)</f>
        <v>Kuća- Uređenje i Dizajn</v>
      </c>
      <c r="K96" t="str">
        <f>VLOOKUP(A96,[1]Klijenti!$A$1:$F$11,3,FALSE)</f>
        <v>Beogradski region</v>
      </c>
    </row>
    <row r="97" spans="1:11">
      <c r="A97" s="5">
        <v>152</v>
      </c>
      <c r="B97" s="15">
        <v>45326</v>
      </c>
      <c r="C97" s="5">
        <v>171444</v>
      </c>
      <c r="D97" s="5" t="s">
        <v>80</v>
      </c>
      <c r="E97" s="5">
        <v>24</v>
      </c>
      <c r="F97" s="32" t="s">
        <v>229</v>
      </c>
      <c r="G97" t="str">
        <f>VLOOKUP(D97,[1]Proizvodi!$A$1:$F$15,2,FALSE)</f>
        <v>Nameštaj za dnevnu sobu</v>
      </c>
      <c r="H97" t="str">
        <f>VLOOKUP(D97,[1]Proizvodi!$A$1:$F$15,3,FALSE)</f>
        <v>Ormarić za TV</v>
      </c>
      <c r="I97" t="s">
        <v>437</v>
      </c>
      <c r="J97" t="str">
        <f>VLOOKUP(A97,[1]Klijenti!$A$1:$F$11,2,FALSE)</f>
        <v>Prostor za Uživanje</v>
      </c>
      <c r="K97" t="str">
        <f>VLOOKUP(A97,[1]Klijenti!$A$1:$F$11,3,FALSE)</f>
        <v>Srbija</v>
      </c>
    </row>
    <row r="98" spans="1:11">
      <c r="A98" s="5">
        <v>195</v>
      </c>
      <c r="B98" s="15">
        <v>45298</v>
      </c>
      <c r="C98" s="5">
        <v>466126</v>
      </c>
      <c r="D98" s="5" t="s">
        <v>84</v>
      </c>
      <c r="E98" s="5">
        <v>17</v>
      </c>
      <c r="F98" s="32" t="s">
        <v>230</v>
      </c>
      <c r="G98" t="str">
        <f>VLOOKUP(D98,[1]Proizvodi!$A$1:$F$15,2,FALSE)</f>
        <v>Trpezarija</v>
      </c>
      <c r="H98" t="str">
        <f>VLOOKUP(D98,[1]Proizvodi!$A$1:$F$15,3,FALSE)</f>
        <v>Stolica za ručavanje</v>
      </c>
      <c r="I98" t="s">
        <v>433</v>
      </c>
      <c r="J98" t="str">
        <f>VLOOKUP(A98,[1]Klijenti!$A$1:$F$11,2,FALSE)</f>
        <v>Moderni Dom</v>
      </c>
      <c r="K98" t="str">
        <f>VLOOKUP(A98,[1]Klijenti!$A$1:$F$11,3,FALSE)</f>
        <v>Srbija</v>
      </c>
    </row>
    <row r="99" spans="1:11">
      <c r="A99" s="5">
        <v>157</v>
      </c>
      <c r="B99" s="15">
        <v>45323</v>
      </c>
      <c r="C99" s="5">
        <v>688897</v>
      </c>
      <c r="D99" s="5" t="s">
        <v>80</v>
      </c>
      <c r="E99" s="5">
        <v>30</v>
      </c>
      <c r="F99" s="32" t="s">
        <v>231</v>
      </c>
      <c r="G99" t="str">
        <f>VLOOKUP(D99,[1]Proizvodi!$A$1:$F$15,2,FALSE)</f>
        <v>Nameštaj za dnevnu sobu</v>
      </c>
      <c r="H99" t="str">
        <f>VLOOKUP(D99,[1]Proizvodi!$A$1:$F$15,3,FALSE)</f>
        <v>Ormarić za TV</v>
      </c>
      <c r="I99" t="s">
        <v>435</v>
      </c>
      <c r="J99" t="str">
        <f>VLOOKUP(A99,[1]Klijenti!$A$1:$F$11,2,FALSE)</f>
        <v>Stilski Stan</v>
      </c>
      <c r="K99" t="str">
        <f>VLOOKUP(A99,[1]Klijenti!$A$1:$F$11,3,FALSE)</f>
        <v>Vojvodina i Beograd</v>
      </c>
    </row>
    <row r="100" spans="1:11">
      <c r="A100" s="5">
        <v>151</v>
      </c>
      <c r="B100" s="15">
        <v>45299</v>
      </c>
      <c r="C100" s="5">
        <v>443480</v>
      </c>
      <c r="D100" s="5" t="s">
        <v>84</v>
      </c>
      <c r="E100" s="5">
        <v>23</v>
      </c>
      <c r="F100" s="32" t="s">
        <v>232</v>
      </c>
      <c r="G100" t="str">
        <f>VLOOKUP(D100,[1]Proizvodi!$A$1:$F$15,2,FALSE)</f>
        <v>Trpezarija</v>
      </c>
      <c r="H100" t="str">
        <f>VLOOKUP(D100,[1]Proizvodi!$A$1:$F$15,3,FALSE)</f>
        <v>Stolica za ručavanje</v>
      </c>
      <c r="I100" t="s">
        <v>434</v>
      </c>
      <c r="J100" t="str">
        <f>VLOOKUP(A100,[1]Klijenti!$A$1:$F$11,2,FALSE)</f>
        <v>Estetski Kutak</v>
      </c>
      <c r="K100" t="str">
        <f>VLOOKUP(A100,[1]Klijenti!$A$1:$F$11,3,FALSE)</f>
        <v>Srbija</v>
      </c>
    </row>
    <row r="101" spans="1:11">
      <c r="A101" s="5">
        <v>153</v>
      </c>
      <c r="B101" s="15">
        <v>45299</v>
      </c>
      <c r="C101" s="5">
        <v>688897</v>
      </c>
      <c r="D101" s="5" t="s">
        <v>82</v>
      </c>
      <c r="E101" s="5">
        <v>31</v>
      </c>
      <c r="F101" s="32" t="s">
        <v>233</v>
      </c>
      <c r="G101" t="str">
        <f>VLOOKUP(D101,[1]Proizvodi!$A$1:$F$15,2,FALSE)</f>
        <v>Nameštaj za dnevnu sobu</v>
      </c>
      <c r="H101" t="str">
        <f>VLOOKUP(D101,[1]Proizvodi!$A$1:$F$15,3,FALSE)</f>
        <v>Sofa</v>
      </c>
      <c r="I101" t="s">
        <v>435</v>
      </c>
      <c r="J101" t="str">
        <f>VLOOKUP(A101,[1]Klijenti!$A$1:$F$11,2,FALSE)</f>
        <v>Udobni Kutak</v>
      </c>
      <c r="K101" t="str">
        <f>VLOOKUP(A101,[1]Klijenti!$A$1:$F$11,3,FALSE)</f>
        <v>Južni region</v>
      </c>
    </row>
    <row r="102" spans="1:11">
      <c r="A102" s="5">
        <v>152</v>
      </c>
      <c r="B102" s="15">
        <v>45336</v>
      </c>
      <c r="C102" s="5">
        <v>171444</v>
      </c>
      <c r="D102" s="5" t="s">
        <v>75</v>
      </c>
      <c r="E102" s="5">
        <v>48</v>
      </c>
      <c r="F102" s="32" t="s">
        <v>234</v>
      </c>
      <c r="G102" t="str">
        <f>VLOOKUP(D102,[1]Proizvodi!$A$1:$F$15,2,FALSE)</f>
        <v>Trpezarija</v>
      </c>
      <c r="H102" t="str">
        <f>VLOOKUP(D102,[1]Proizvodi!$A$1:$F$15,3,FALSE)</f>
        <v>Trpezarijski sto</v>
      </c>
      <c r="I102" t="s">
        <v>437</v>
      </c>
      <c r="J102" t="str">
        <f>VLOOKUP(A102,[1]Klijenti!$A$1:$F$11,2,FALSE)</f>
        <v>Prostor za Uživanje</v>
      </c>
      <c r="K102" t="str">
        <f>VLOOKUP(A102,[1]Klijenti!$A$1:$F$11,3,FALSE)</f>
        <v>Srbija</v>
      </c>
    </row>
    <row r="103" spans="1:11">
      <c r="A103" s="5">
        <v>152</v>
      </c>
      <c r="B103" s="15">
        <v>45322</v>
      </c>
      <c r="C103" s="5">
        <v>171444</v>
      </c>
      <c r="D103" s="5" t="s">
        <v>80</v>
      </c>
      <c r="E103" s="5">
        <v>24</v>
      </c>
      <c r="F103" s="32" t="s">
        <v>235</v>
      </c>
      <c r="G103" t="str">
        <f>VLOOKUP(D103,[1]Proizvodi!$A$1:$F$15,2,FALSE)</f>
        <v>Nameštaj za dnevnu sobu</v>
      </c>
      <c r="H103" t="str">
        <f>VLOOKUP(D103,[1]Proizvodi!$A$1:$F$15,3,FALSE)</f>
        <v>Ormarić za TV</v>
      </c>
      <c r="I103" t="s">
        <v>437</v>
      </c>
      <c r="J103" t="str">
        <f>VLOOKUP(A103,[1]Klijenti!$A$1:$F$11,2,FALSE)</f>
        <v>Prostor za Uživanje</v>
      </c>
      <c r="K103" t="str">
        <f>VLOOKUP(A103,[1]Klijenti!$A$1:$F$11,3,FALSE)</f>
        <v>Srbija</v>
      </c>
    </row>
    <row r="104" spans="1:11">
      <c r="A104" s="5">
        <v>153</v>
      </c>
      <c r="B104" s="15">
        <v>45352</v>
      </c>
      <c r="C104" s="5">
        <v>688897</v>
      </c>
      <c r="D104" s="5" t="s">
        <v>86</v>
      </c>
      <c r="E104" s="5">
        <v>17</v>
      </c>
      <c r="F104" s="32" t="s">
        <v>236</v>
      </c>
      <c r="G104" t="str">
        <f>VLOOKUP(D104,[1]Proizvodi!$A$1:$F$15,2,FALSE)</f>
        <v>Nameštaj za spavaću sobu</v>
      </c>
      <c r="H104" t="str">
        <f>VLOOKUP(D104,[1]Proizvodi!$A$1:$F$15,3,FALSE)</f>
        <v>Noćni ormarić</v>
      </c>
      <c r="I104" t="s">
        <v>435</v>
      </c>
      <c r="J104" t="str">
        <f>VLOOKUP(A104,[1]Klijenti!$A$1:$F$11,2,FALSE)</f>
        <v>Udobni Kutak</v>
      </c>
      <c r="K104" t="str">
        <f>VLOOKUP(A104,[1]Klijenti!$A$1:$F$11,3,FALSE)</f>
        <v>Južni region</v>
      </c>
    </row>
    <row r="105" spans="1:11">
      <c r="A105" s="5">
        <v>152</v>
      </c>
      <c r="B105" s="15">
        <v>45324</v>
      </c>
      <c r="C105" s="5">
        <v>171444</v>
      </c>
      <c r="D105" s="5" t="s">
        <v>103</v>
      </c>
      <c r="E105" s="5">
        <v>2</v>
      </c>
      <c r="F105" s="32" t="s">
        <v>237</v>
      </c>
      <c r="G105" t="str">
        <f>VLOOKUP(D105,[1]Proizvodi!$A$1:$F$15,2,FALSE)</f>
        <v>Kuhinja</v>
      </c>
      <c r="H105" t="str">
        <f>VLOOKUP(D105,[1]Proizvodi!$A$1:$F$15,3,FALSE)</f>
        <v>Kuhinjsko ostrvo</v>
      </c>
      <c r="I105" t="s">
        <v>437</v>
      </c>
      <c r="J105" t="str">
        <f>VLOOKUP(A105,[1]Klijenti!$A$1:$F$11,2,FALSE)</f>
        <v>Prostor za Uživanje</v>
      </c>
      <c r="K105" t="str">
        <f>VLOOKUP(A105,[1]Klijenti!$A$1:$F$11,3,FALSE)</f>
        <v>Srbija</v>
      </c>
    </row>
    <row r="106" spans="1:11">
      <c r="A106" s="5">
        <v>127</v>
      </c>
      <c r="B106" s="15">
        <v>45359</v>
      </c>
      <c r="C106" s="5">
        <v>171444</v>
      </c>
      <c r="D106" s="5" t="s">
        <v>78</v>
      </c>
      <c r="E106" s="5">
        <v>24</v>
      </c>
      <c r="F106" s="32" t="s">
        <v>238</v>
      </c>
      <c r="G106" t="str">
        <f>VLOOKUP(D106,[1]Proizvodi!$A$1:$F$15,2,FALSE)</f>
        <v>Nameštaj za dnevnu sobu</v>
      </c>
      <c r="H106" t="str">
        <f>VLOOKUP(D106,[1]Proizvodi!$A$1:$F$15,3,FALSE)</f>
        <v>Rasklopiva fotelja</v>
      </c>
      <c r="I106" t="s">
        <v>437</v>
      </c>
      <c r="J106" t="str">
        <f>VLOOKUP(A106,[1]Klijenti!$A$1:$F$11,2,FALSE)</f>
        <v>Luksuzni Dizajn</v>
      </c>
      <c r="K106" t="str">
        <f>VLOOKUP(A106,[1]Klijenti!$A$1:$F$11,3,FALSE)</f>
        <v>Vojvodina</v>
      </c>
    </row>
    <row r="107" spans="1:11">
      <c r="A107" s="5">
        <v>127</v>
      </c>
      <c r="B107" s="15">
        <v>45367</v>
      </c>
      <c r="C107" s="5">
        <v>171444</v>
      </c>
      <c r="D107" s="5" t="s">
        <v>72</v>
      </c>
      <c r="E107" s="5">
        <v>22</v>
      </c>
      <c r="F107" s="32" t="s">
        <v>239</v>
      </c>
      <c r="G107" t="str">
        <f>VLOOKUP(D107,[1]Proizvodi!$A$1:$F$15,2,FALSE)</f>
        <v>Nameštaj za dnevnu sobu</v>
      </c>
      <c r="H107" t="str">
        <f>VLOOKUP(D107,[1]Proizvodi!$A$1:$F$15,3,FALSE)</f>
        <v>Klub sto</v>
      </c>
      <c r="I107" t="s">
        <v>437</v>
      </c>
      <c r="J107" t="str">
        <f>VLOOKUP(A107,[1]Klijenti!$A$1:$F$11,2,FALSE)</f>
        <v>Luksuzni Dizajn</v>
      </c>
      <c r="K107" t="str">
        <f>VLOOKUP(A107,[1]Klijenti!$A$1:$F$11,3,FALSE)</f>
        <v>Vojvodina</v>
      </c>
    </row>
    <row r="108" spans="1:11">
      <c r="A108" s="5">
        <v>186</v>
      </c>
      <c r="B108" s="15">
        <v>45361</v>
      </c>
      <c r="C108" s="5">
        <v>243994</v>
      </c>
      <c r="D108" s="5" t="s">
        <v>100</v>
      </c>
      <c r="E108" s="5">
        <v>20</v>
      </c>
      <c r="F108" s="32" t="s">
        <v>240</v>
      </c>
      <c r="G108" t="str">
        <f>VLOOKUP(D108,[1]Proizvodi!$A$1:$F$15,2,FALSE)</f>
        <v>Kuhinja</v>
      </c>
      <c r="H108" t="str">
        <f>VLOOKUP(D108,[1]Proizvodi!$A$1:$F$15,3,FALSE)</f>
        <v>Viseća polica</v>
      </c>
      <c r="I108" t="s">
        <v>436</v>
      </c>
      <c r="J108" t="str">
        <f>VLOOKUP(A108,[1]Klijenti!$A$1:$F$11,2,FALSE)</f>
        <v>Kuća- Uređenje i Dizajn</v>
      </c>
      <c r="K108" t="str">
        <f>VLOOKUP(A108,[1]Klijenti!$A$1:$F$11,3,FALSE)</f>
        <v>Beogradski region</v>
      </c>
    </row>
    <row r="109" spans="1:11">
      <c r="A109" s="5">
        <v>151</v>
      </c>
      <c r="B109" s="15">
        <v>45299</v>
      </c>
      <c r="C109" s="5">
        <v>443480</v>
      </c>
      <c r="D109" s="5" t="s">
        <v>75</v>
      </c>
      <c r="E109" s="5">
        <v>32</v>
      </c>
      <c r="F109" s="32" t="s">
        <v>241</v>
      </c>
      <c r="G109" t="str">
        <f>VLOOKUP(D109,[1]Proizvodi!$A$1:$F$15,2,FALSE)</f>
        <v>Trpezarija</v>
      </c>
      <c r="H109" t="str">
        <f>VLOOKUP(D109,[1]Proizvodi!$A$1:$F$15,3,FALSE)</f>
        <v>Trpezarijski sto</v>
      </c>
      <c r="I109" t="s">
        <v>434</v>
      </c>
      <c r="J109" t="str">
        <f>VLOOKUP(A109,[1]Klijenti!$A$1:$F$11,2,FALSE)</f>
        <v>Estetski Kutak</v>
      </c>
      <c r="K109" t="str">
        <f>VLOOKUP(A109,[1]Klijenti!$A$1:$F$11,3,FALSE)</f>
        <v>Srbija</v>
      </c>
    </row>
    <row r="110" spans="1:11">
      <c r="A110" s="5">
        <v>152</v>
      </c>
      <c r="B110" s="15">
        <v>45335</v>
      </c>
      <c r="C110" s="5">
        <v>171444</v>
      </c>
      <c r="D110" s="5" t="s">
        <v>103</v>
      </c>
      <c r="E110" s="5">
        <v>35</v>
      </c>
      <c r="F110" s="32" t="s">
        <v>242</v>
      </c>
      <c r="G110" t="str">
        <f>VLOOKUP(D110,[1]Proizvodi!$A$1:$F$15,2,FALSE)</f>
        <v>Kuhinja</v>
      </c>
      <c r="H110" t="str">
        <f>VLOOKUP(D110,[1]Proizvodi!$A$1:$F$15,3,FALSE)</f>
        <v>Kuhinjsko ostrvo</v>
      </c>
      <c r="I110" t="s">
        <v>437</v>
      </c>
      <c r="J110" t="str">
        <f>VLOOKUP(A110,[1]Klijenti!$A$1:$F$11,2,FALSE)</f>
        <v>Prostor za Uživanje</v>
      </c>
      <c r="K110" t="str">
        <f>VLOOKUP(A110,[1]Klijenti!$A$1:$F$11,3,FALSE)</f>
        <v>Srbija</v>
      </c>
    </row>
    <row r="111" spans="1:11">
      <c r="A111" s="5">
        <v>195</v>
      </c>
      <c r="B111" s="15">
        <v>45379</v>
      </c>
      <c r="C111" s="5">
        <v>466126</v>
      </c>
      <c r="D111" s="5" t="s">
        <v>75</v>
      </c>
      <c r="E111" s="5">
        <v>21</v>
      </c>
      <c r="F111" s="32" t="s">
        <v>243</v>
      </c>
      <c r="G111" t="str">
        <f>VLOOKUP(D111,[1]Proizvodi!$A$1:$F$15,2,FALSE)</f>
        <v>Trpezarija</v>
      </c>
      <c r="H111" t="str">
        <f>VLOOKUP(D111,[1]Proizvodi!$A$1:$F$15,3,FALSE)</f>
        <v>Trpezarijski sto</v>
      </c>
      <c r="I111" t="s">
        <v>433</v>
      </c>
      <c r="J111" t="str">
        <f>VLOOKUP(A111,[1]Klijenti!$A$1:$F$11,2,FALSE)</f>
        <v>Moderni Dom</v>
      </c>
      <c r="K111" t="str">
        <f>VLOOKUP(A111,[1]Klijenti!$A$1:$F$11,3,FALSE)</f>
        <v>Srbija</v>
      </c>
    </row>
    <row r="112" spans="1:11">
      <c r="A112" s="5">
        <v>151</v>
      </c>
      <c r="B112" s="15">
        <v>45367</v>
      </c>
      <c r="C112" s="5">
        <v>443480</v>
      </c>
      <c r="D112" s="5" t="s">
        <v>98</v>
      </c>
      <c r="E112" s="5">
        <v>8</v>
      </c>
      <c r="F112" s="32" t="s">
        <v>244</v>
      </c>
      <c r="G112" t="str">
        <f>VLOOKUP(D112,[1]Proizvodi!$A$1:$F$15,2,FALSE)</f>
        <v>Nameštaj za dnevnu sobu</v>
      </c>
      <c r="H112" t="str">
        <f>VLOOKUP(D112,[1]Proizvodi!$A$1:$F$15,3,FALSE)</f>
        <v>Tabure</v>
      </c>
      <c r="I112" t="s">
        <v>434</v>
      </c>
      <c r="J112" t="str">
        <f>VLOOKUP(A112,[1]Klijenti!$A$1:$F$11,2,FALSE)</f>
        <v>Estetski Kutak</v>
      </c>
      <c r="K112" t="str">
        <f>VLOOKUP(A112,[1]Klijenti!$A$1:$F$11,3,FALSE)</f>
        <v>Srbija</v>
      </c>
    </row>
    <row r="113" spans="1:11">
      <c r="A113" s="5">
        <v>153</v>
      </c>
      <c r="B113" s="15">
        <v>45332</v>
      </c>
      <c r="C113" s="5">
        <v>688897</v>
      </c>
      <c r="D113" s="5" t="s">
        <v>100</v>
      </c>
      <c r="E113" s="5">
        <v>49</v>
      </c>
      <c r="F113" s="32" t="s">
        <v>245</v>
      </c>
      <c r="G113" t="str">
        <f>VLOOKUP(D113,[1]Proizvodi!$A$1:$F$15,2,FALSE)</f>
        <v>Kuhinja</v>
      </c>
      <c r="H113" t="str">
        <f>VLOOKUP(D113,[1]Proizvodi!$A$1:$F$15,3,FALSE)</f>
        <v>Viseća polica</v>
      </c>
      <c r="I113" t="s">
        <v>435</v>
      </c>
      <c r="J113" t="str">
        <f>VLOOKUP(A113,[1]Klijenti!$A$1:$F$11,2,FALSE)</f>
        <v>Udobni Kutak</v>
      </c>
      <c r="K113" t="str">
        <f>VLOOKUP(A113,[1]Klijenti!$A$1:$F$11,3,FALSE)</f>
        <v>Južni region</v>
      </c>
    </row>
    <row r="114" spans="1:11">
      <c r="A114" s="5">
        <v>179</v>
      </c>
      <c r="B114" s="15">
        <v>45353</v>
      </c>
      <c r="C114" s="5">
        <v>243994</v>
      </c>
      <c r="D114" s="5" t="s">
        <v>84</v>
      </c>
      <c r="E114" s="5">
        <v>41</v>
      </c>
      <c r="F114" s="32" t="s">
        <v>246</v>
      </c>
      <c r="G114" t="str">
        <f>VLOOKUP(D114,[1]Proizvodi!$A$1:$F$15,2,FALSE)</f>
        <v>Trpezarija</v>
      </c>
      <c r="H114" t="str">
        <f>VLOOKUP(D114,[1]Proizvodi!$A$1:$F$15,3,FALSE)</f>
        <v>Stolica za ručavanje</v>
      </c>
      <c r="I114" t="s">
        <v>436</v>
      </c>
      <c r="J114" t="str">
        <f>VLOOKUP(A114,[1]Klijenti!$A$1:$F$11,2,FALSE)</f>
        <v>Elegantni Enterijeri</v>
      </c>
      <c r="K114" t="str">
        <f>VLOOKUP(A114,[1]Klijenti!$A$1:$F$11,3,FALSE)</f>
        <v>Južni i Šumadijski region</v>
      </c>
    </row>
    <row r="115" spans="1:11">
      <c r="A115" s="5">
        <v>127</v>
      </c>
      <c r="B115" s="15">
        <v>45330</v>
      </c>
      <c r="C115" s="5">
        <v>171444</v>
      </c>
      <c r="D115" s="5" t="s">
        <v>78</v>
      </c>
      <c r="E115" s="5">
        <v>46</v>
      </c>
      <c r="F115" s="32" t="s">
        <v>247</v>
      </c>
      <c r="G115" t="str">
        <f>VLOOKUP(D115,[1]Proizvodi!$A$1:$F$15,2,FALSE)</f>
        <v>Nameštaj za dnevnu sobu</v>
      </c>
      <c r="H115" t="str">
        <f>VLOOKUP(D115,[1]Proizvodi!$A$1:$F$15,3,FALSE)</f>
        <v>Rasklopiva fotelja</v>
      </c>
      <c r="I115" t="s">
        <v>437</v>
      </c>
      <c r="J115" t="str">
        <f>VLOOKUP(A115,[1]Klijenti!$A$1:$F$11,2,FALSE)</f>
        <v>Luksuzni Dizajn</v>
      </c>
      <c r="K115" t="str">
        <f>VLOOKUP(A115,[1]Klijenti!$A$1:$F$11,3,FALSE)</f>
        <v>Vojvodina</v>
      </c>
    </row>
    <row r="116" spans="1:11">
      <c r="A116" s="5">
        <v>108</v>
      </c>
      <c r="B116" s="15">
        <v>45354</v>
      </c>
      <c r="C116" s="5">
        <v>466126</v>
      </c>
      <c r="D116" s="5" t="s">
        <v>72</v>
      </c>
      <c r="E116" s="5">
        <v>49</v>
      </c>
      <c r="F116" s="32" t="s">
        <v>248</v>
      </c>
      <c r="G116" t="str">
        <f>VLOOKUP(D116,[1]Proizvodi!$A$1:$F$15,2,FALSE)</f>
        <v>Nameštaj za dnevnu sobu</v>
      </c>
      <c r="H116" t="str">
        <f>VLOOKUP(D116,[1]Proizvodi!$A$1:$F$15,3,FALSE)</f>
        <v>Klub sto</v>
      </c>
      <c r="I116" t="s">
        <v>433</v>
      </c>
      <c r="J116" t="str">
        <f>VLOOKUP(A116,[1]Klijenti!$A$1:$F$11,2,FALSE)</f>
        <v>Dom &amp; Dekor</v>
      </c>
      <c r="K116" t="str">
        <f>VLOOKUP(A116,[1]Klijenti!$A$1:$F$11,3,FALSE)</f>
        <v>Beogradski region</v>
      </c>
    </row>
    <row r="117" spans="1:11">
      <c r="A117" s="5">
        <v>152</v>
      </c>
      <c r="B117" s="15">
        <v>45300</v>
      </c>
      <c r="C117" s="5">
        <v>171444</v>
      </c>
      <c r="D117" s="5" t="s">
        <v>94</v>
      </c>
      <c r="E117" s="5">
        <v>22</v>
      </c>
      <c r="F117" s="32" t="s">
        <v>249</v>
      </c>
      <c r="G117" t="str">
        <f>VLOOKUP(D117,[1]Proizvodi!$A$1:$F$15,2,FALSE)</f>
        <v>Nameštaj za dnevnu sobu</v>
      </c>
      <c r="H117" t="str">
        <f>VLOOKUP(D117,[1]Proizvodi!$A$1:$F$15,3,FALSE)</f>
        <v>Polica za knjige</v>
      </c>
      <c r="I117" t="s">
        <v>437</v>
      </c>
      <c r="J117" t="str">
        <f>VLOOKUP(A117,[1]Klijenti!$A$1:$F$11,2,FALSE)</f>
        <v>Prostor za Uživanje</v>
      </c>
      <c r="K117" t="str">
        <f>VLOOKUP(A117,[1]Klijenti!$A$1:$F$11,3,FALSE)</f>
        <v>Srbija</v>
      </c>
    </row>
    <row r="118" spans="1:11">
      <c r="A118" s="5">
        <v>108</v>
      </c>
      <c r="B118" s="15">
        <v>45324</v>
      </c>
      <c r="C118" s="5">
        <v>466126</v>
      </c>
      <c r="D118" s="5" t="s">
        <v>86</v>
      </c>
      <c r="E118" s="5">
        <v>7</v>
      </c>
      <c r="F118" s="32" t="s">
        <v>250</v>
      </c>
      <c r="G118" t="str">
        <f>VLOOKUP(D118,[1]Proizvodi!$A$1:$F$15,2,FALSE)</f>
        <v>Nameštaj za spavaću sobu</v>
      </c>
      <c r="H118" t="str">
        <f>VLOOKUP(D118,[1]Proizvodi!$A$1:$F$15,3,FALSE)</f>
        <v>Noćni ormarić</v>
      </c>
      <c r="I118" t="s">
        <v>433</v>
      </c>
      <c r="J118" t="str">
        <f>VLOOKUP(A118,[1]Klijenti!$A$1:$F$11,2,FALSE)</f>
        <v>Dom &amp; Dekor</v>
      </c>
      <c r="K118" t="str">
        <f>VLOOKUP(A118,[1]Klijenti!$A$1:$F$11,3,FALSE)</f>
        <v>Beogradski region</v>
      </c>
    </row>
    <row r="119" spans="1:11">
      <c r="A119" s="5">
        <v>151</v>
      </c>
      <c r="B119" s="15">
        <v>45338</v>
      </c>
      <c r="C119" s="5">
        <v>443480</v>
      </c>
      <c r="D119" s="5" t="s">
        <v>103</v>
      </c>
      <c r="E119" s="5">
        <v>22</v>
      </c>
      <c r="F119" s="32" t="s">
        <v>251</v>
      </c>
      <c r="G119" t="str">
        <f>VLOOKUP(D119,[1]Proizvodi!$A$1:$F$15,2,FALSE)</f>
        <v>Kuhinja</v>
      </c>
      <c r="H119" t="str">
        <f>VLOOKUP(D119,[1]Proizvodi!$A$1:$F$15,3,FALSE)</f>
        <v>Kuhinjsko ostrvo</v>
      </c>
      <c r="I119" t="s">
        <v>434</v>
      </c>
      <c r="J119" t="str">
        <f>VLOOKUP(A119,[1]Klijenti!$A$1:$F$11,2,FALSE)</f>
        <v>Estetski Kutak</v>
      </c>
      <c r="K119" t="str">
        <f>VLOOKUP(A119,[1]Klijenti!$A$1:$F$11,3,FALSE)</f>
        <v>Srbija</v>
      </c>
    </row>
    <row r="120" spans="1:11">
      <c r="A120" s="5">
        <v>163</v>
      </c>
      <c r="B120" s="15">
        <v>45374</v>
      </c>
      <c r="C120" s="5">
        <v>443480</v>
      </c>
      <c r="D120" s="5" t="s">
        <v>100</v>
      </c>
      <c r="E120" s="5">
        <v>4</v>
      </c>
      <c r="F120" s="32" t="s">
        <v>252</v>
      </c>
      <c r="G120" t="str">
        <f>VLOOKUP(D120,[1]Proizvodi!$A$1:$F$15,2,FALSE)</f>
        <v>Kuhinja</v>
      </c>
      <c r="H120" t="str">
        <f>VLOOKUP(D120,[1]Proizvodi!$A$1:$F$15,3,FALSE)</f>
        <v>Viseća polica</v>
      </c>
      <c r="I120" t="s">
        <v>434</v>
      </c>
      <c r="J120" t="str">
        <f>VLOOKUP(A120,[1]Klijenti!$A$1:$F$11,2,FALSE)</f>
        <v>Sofistikacija Doma</v>
      </c>
      <c r="K120" t="str">
        <f>VLOOKUP(A120,[1]Klijenti!$A$1:$F$11,3,FALSE)</f>
        <v>Šumadija</v>
      </c>
    </row>
    <row r="121" spans="1:11">
      <c r="A121" s="5">
        <v>152</v>
      </c>
      <c r="B121" s="15">
        <v>45328</v>
      </c>
      <c r="C121" s="5">
        <v>171444</v>
      </c>
      <c r="D121" s="5" t="s">
        <v>89</v>
      </c>
      <c r="E121" s="5">
        <v>34</v>
      </c>
      <c r="F121" s="32" t="s">
        <v>253</v>
      </c>
      <c r="G121" t="str">
        <f>VLOOKUP(D121,[1]Proizvodi!$A$1:$F$15,2,FALSE)</f>
        <v>Nameštaj za dnevnu sobu</v>
      </c>
      <c r="H121" t="str">
        <f>VLOOKUP(D121,[1]Proizvodi!$A$1:$F$15,3,FALSE)</f>
        <v>Komoda</v>
      </c>
      <c r="I121" t="s">
        <v>437</v>
      </c>
      <c r="J121" t="str">
        <f>VLOOKUP(A121,[1]Klijenti!$A$1:$F$11,2,FALSE)</f>
        <v>Prostor za Uživanje</v>
      </c>
      <c r="K121" t="str">
        <f>VLOOKUP(A121,[1]Klijenti!$A$1:$F$11,3,FALSE)</f>
        <v>Srbija</v>
      </c>
    </row>
    <row r="122" spans="1:11">
      <c r="A122" s="5">
        <v>179</v>
      </c>
      <c r="B122" s="15">
        <v>45353</v>
      </c>
      <c r="C122" s="5">
        <v>243994</v>
      </c>
      <c r="D122" s="5" t="s">
        <v>103</v>
      </c>
      <c r="E122" s="5">
        <v>16</v>
      </c>
      <c r="F122" s="32" t="s">
        <v>254</v>
      </c>
      <c r="G122" t="str">
        <f>VLOOKUP(D122,[1]Proizvodi!$A$1:$F$15,2,FALSE)</f>
        <v>Kuhinja</v>
      </c>
      <c r="H122" t="str">
        <f>VLOOKUP(D122,[1]Proizvodi!$A$1:$F$15,3,FALSE)</f>
        <v>Kuhinjsko ostrvo</v>
      </c>
      <c r="I122" t="s">
        <v>436</v>
      </c>
      <c r="J122" t="str">
        <f>VLOOKUP(A122,[1]Klijenti!$A$1:$F$11,2,FALSE)</f>
        <v>Elegantni Enterijeri</v>
      </c>
      <c r="K122" t="str">
        <f>VLOOKUP(A122,[1]Klijenti!$A$1:$F$11,3,FALSE)</f>
        <v>Južni i Šumadijski region</v>
      </c>
    </row>
    <row r="123" spans="1:11">
      <c r="A123" s="5">
        <v>195</v>
      </c>
      <c r="B123" s="15">
        <v>45352</v>
      </c>
      <c r="C123" s="5">
        <v>466126</v>
      </c>
      <c r="D123" s="5" t="s">
        <v>89</v>
      </c>
      <c r="E123" s="5">
        <v>22</v>
      </c>
      <c r="F123" s="32" t="s">
        <v>255</v>
      </c>
      <c r="G123" t="str">
        <f>VLOOKUP(D123,[1]Proizvodi!$A$1:$F$15,2,FALSE)</f>
        <v>Nameštaj za dnevnu sobu</v>
      </c>
      <c r="H123" t="str">
        <f>VLOOKUP(D123,[1]Proizvodi!$A$1:$F$15,3,FALSE)</f>
        <v>Komoda</v>
      </c>
      <c r="I123" t="s">
        <v>433</v>
      </c>
      <c r="J123" t="str">
        <f>VLOOKUP(A123,[1]Klijenti!$A$1:$F$11,2,FALSE)</f>
        <v>Moderni Dom</v>
      </c>
      <c r="K123" t="str">
        <f>VLOOKUP(A123,[1]Klijenti!$A$1:$F$11,3,FALSE)</f>
        <v>Srbija</v>
      </c>
    </row>
    <row r="124" spans="1:11">
      <c r="A124" s="5">
        <v>152</v>
      </c>
      <c r="B124" s="15">
        <v>45334</v>
      </c>
      <c r="C124" s="5">
        <v>171444</v>
      </c>
      <c r="D124" s="5" t="s">
        <v>94</v>
      </c>
      <c r="E124" s="5">
        <v>37</v>
      </c>
      <c r="F124" s="32" t="s">
        <v>256</v>
      </c>
      <c r="G124" t="str">
        <f>VLOOKUP(D124,[1]Proizvodi!$A$1:$F$15,2,FALSE)</f>
        <v>Nameštaj za dnevnu sobu</v>
      </c>
      <c r="H124" t="str">
        <f>VLOOKUP(D124,[1]Proizvodi!$A$1:$F$15,3,FALSE)</f>
        <v>Polica za knjige</v>
      </c>
      <c r="I124" t="s">
        <v>437</v>
      </c>
      <c r="J124" t="str">
        <f>VLOOKUP(A124,[1]Klijenti!$A$1:$F$11,2,FALSE)</f>
        <v>Prostor za Uživanje</v>
      </c>
      <c r="K124" t="str">
        <f>VLOOKUP(A124,[1]Klijenti!$A$1:$F$11,3,FALSE)</f>
        <v>Srbija</v>
      </c>
    </row>
    <row r="125" spans="1:11">
      <c r="A125" s="5">
        <v>195</v>
      </c>
      <c r="B125" s="15">
        <v>45321</v>
      </c>
      <c r="C125" s="5">
        <v>688897</v>
      </c>
      <c r="D125" s="5" t="s">
        <v>89</v>
      </c>
      <c r="E125" s="5">
        <v>26</v>
      </c>
      <c r="F125" s="32" t="s">
        <v>257</v>
      </c>
      <c r="G125" t="str">
        <f>VLOOKUP(D125,[1]Proizvodi!$A$1:$F$15,2,FALSE)</f>
        <v>Nameštaj za dnevnu sobu</v>
      </c>
      <c r="H125" t="str">
        <f>VLOOKUP(D125,[1]Proizvodi!$A$1:$F$15,3,FALSE)</f>
        <v>Komoda</v>
      </c>
      <c r="I125" t="s">
        <v>435</v>
      </c>
      <c r="J125" t="str">
        <f>VLOOKUP(A125,[1]Klijenti!$A$1:$F$11,2,FALSE)</f>
        <v>Moderni Dom</v>
      </c>
      <c r="K125" t="str">
        <f>VLOOKUP(A125,[1]Klijenti!$A$1:$F$11,3,FALSE)</f>
        <v>Srbija</v>
      </c>
    </row>
    <row r="126" spans="1:11">
      <c r="A126" s="5">
        <v>163</v>
      </c>
      <c r="B126" s="15">
        <v>45360</v>
      </c>
      <c r="C126" s="5">
        <v>443480</v>
      </c>
      <c r="D126" s="5" t="s">
        <v>72</v>
      </c>
      <c r="E126" s="5">
        <v>45</v>
      </c>
      <c r="F126" s="32" t="s">
        <v>258</v>
      </c>
      <c r="G126" t="str">
        <f>VLOOKUP(D126,[1]Proizvodi!$A$1:$F$15,2,FALSE)</f>
        <v>Nameštaj za dnevnu sobu</v>
      </c>
      <c r="H126" t="str">
        <f>VLOOKUP(D126,[1]Proizvodi!$A$1:$F$15,3,FALSE)</f>
        <v>Klub sto</v>
      </c>
      <c r="I126" t="s">
        <v>434</v>
      </c>
      <c r="J126" t="str">
        <f>VLOOKUP(A126,[1]Klijenti!$A$1:$F$11,2,FALSE)</f>
        <v>Sofistikacija Doma</v>
      </c>
      <c r="K126" t="str">
        <f>VLOOKUP(A126,[1]Klijenti!$A$1:$F$11,3,FALSE)</f>
        <v>Šumadija</v>
      </c>
    </row>
    <row r="127" spans="1:11">
      <c r="A127" s="5">
        <v>152</v>
      </c>
      <c r="B127" s="15">
        <v>45340</v>
      </c>
      <c r="C127" s="5">
        <v>171444</v>
      </c>
      <c r="D127" s="5" t="s">
        <v>98</v>
      </c>
      <c r="E127" s="5">
        <v>42</v>
      </c>
      <c r="F127" s="32" t="s">
        <v>259</v>
      </c>
      <c r="G127" t="str">
        <f>VLOOKUP(D127,[1]Proizvodi!$A$1:$F$15,2,FALSE)</f>
        <v>Nameštaj za dnevnu sobu</v>
      </c>
      <c r="H127" t="str">
        <f>VLOOKUP(D127,[1]Proizvodi!$A$1:$F$15,3,FALSE)</f>
        <v>Tabure</v>
      </c>
      <c r="I127" t="s">
        <v>437</v>
      </c>
      <c r="J127" t="str">
        <f>VLOOKUP(A127,[1]Klijenti!$A$1:$F$11,2,FALSE)</f>
        <v>Prostor za Uživanje</v>
      </c>
      <c r="K127" t="str">
        <f>VLOOKUP(A127,[1]Klijenti!$A$1:$F$11,3,FALSE)</f>
        <v>Srbija</v>
      </c>
    </row>
    <row r="128" spans="1:11">
      <c r="A128" s="5">
        <v>127</v>
      </c>
      <c r="B128" s="15">
        <v>45332</v>
      </c>
      <c r="C128" s="5">
        <v>171444</v>
      </c>
      <c r="D128" s="5" t="s">
        <v>72</v>
      </c>
      <c r="E128" s="5">
        <v>38</v>
      </c>
      <c r="F128" s="32" t="s">
        <v>260</v>
      </c>
      <c r="G128" t="str">
        <f>VLOOKUP(D128,[1]Proizvodi!$A$1:$F$15,2,FALSE)</f>
        <v>Nameštaj za dnevnu sobu</v>
      </c>
      <c r="H128" t="str">
        <f>VLOOKUP(D128,[1]Proizvodi!$A$1:$F$15,3,FALSE)</f>
        <v>Klub sto</v>
      </c>
      <c r="I128" t="s">
        <v>437</v>
      </c>
      <c r="J128" t="str">
        <f>VLOOKUP(A128,[1]Klijenti!$A$1:$F$11,2,FALSE)</f>
        <v>Luksuzni Dizajn</v>
      </c>
      <c r="K128" t="str">
        <f>VLOOKUP(A128,[1]Klijenti!$A$1:$F$11,3,FALSE)</f>
        <v>Vojvodina</v>
      </c>
    </row>
    <row r="129" spans="1:11">
      <c r="A129" s="5">
        <v>186</v>
      </c>
      <c r="B129" s="15">
        <v>45334</v>
      </c>
      <c r="C129" s="5">
        <v>243994</v>
      </c>
      <c r="D129" s="5" t="s">
        <v>82</v>
      </c>
      <c r="E129" s="5">
        <v>7</v>
      </c>
      <c r="F129" s="32" t="s">
        <v>261</v>
      </c>
      <c r="G129" t="str">
        <f>VLOOKUP(D129,[1]Proizvodi!$A$1:$F$15,2,FALSE)</f>
        <v>Nameštaj za dnevnu sobu</v>
      </c>
      <c r="H129" t="str">
        <f>VLOOKUP(D129,[1]Proizvodi!$A$1:$F$15,3,FALSE)</f>
        <v>Sofa</v>
      </c>
      <c r="I129" t="s">
        <v>436</v>
      </c>
      <c r="J129" t="str">
        <f>VLOOKUP(A129,[1]Klijenti!$A$1:$F$11,2,FALSE)</f>
        <v>Kuća- Uređenje i Dizajn</v>
      </c>
      <c r="K129" t="str">
        <f>VLOOKUP(A129,[1]Klijenti!$A$1:$F$11,3,FALSE)</f>
        <v>Beogradski region</v>
      </c>
    </row>
    <row r="130" spans="1:11">
      <c r="A130" s="5">
        <v>152</v>
      </c>
      <c r="B130" s="15">
        <v>45373</v>
      </c>
      <c r="C130" s="5">
        <v>171444</v>
      </c>
      <c r="D130" s="5" t="s">
        <v>75</v>
      </c>
      <c r="E130" s="5">
        <v>32</v>
      </c>
      <c r="F130" s="32" t="s">
        <v>262</v>
      </c>
      <c r="G130" t="str">
        <f>VLOOKUP(D130,[1]Proizvodi!$A$1:$F$15,2,FALSE)</f>
        <v>Trpezarija</v>
      </c>
      <c r="H130" t="str">
        <f>VLOOKUP(D130,[1]Proizvodi!$A$1:$F$15,3,FALSE)</f>
        <v>Trpezarijski sto</v>
      </c>
      <c r="I130" t="s">
        <v>437</v>
      </c>
      <c r="J130" t="str">
        <f>VLOOKUP(A130,[1]Klijenti!$A$1:$F$11,2,FALSE)</f>
        <v>Prostor za Uživanje</v>
      </c>
      <c r="K130" t="str">
        <f>VLOOKUP(A130,[1]Klijenti!$A$1:$F$11,3,FALSE)</f>
        <v>Srbija</v>
      </c>
    </row>
    <row r="131" spans="1:11">
      <c r="A131" s="5">
        <v>157</v>
      </c>
      <c r="B131" s="15">
        <v>45305</v>
      </c>
      <c r="C131" s="5">
        <v>688897</v>
      </c>
      <c r="D131" s="5" t="s">
        <v>94</v>
      </c>
      <c r="E131" s="5">
        <v>8</v>
      </c>
      <c r="F131" s="32" t="s">
        <v>263</v>
      </c>
      <c r="G131" t="str">
        <f>VLOOKUP(D131,[1]Proizvodi!$A$1:$F$15,2,FALSE)</f>
        <v>Nameštaj za dnevnu sobu</v>
      </c>
      <c r="H131" t="str">
        <f>VLOOKUP(D131,[1]Proizvodi!$A$1:$F$15,3,FALSE)</f>
        <v>Polica za knjige</v>
      </c>
      <c r="I131" t="s">
        <v>435</v>
      </c>
      <c r="J131" t="str">
        <f>VLOOKUP(A131,[1]Klijenti!$A$1:$F$11,2,FALSE)</f>
        <v>Stilski Stan</v>
      </c>
      <c r="K131" t="str">
        <f>VLOOKUP(A131,[1]Klijenti!$A$1:$F$11,3,FALSE)</f>
        <v>Vojvodina i Beograd</v>
      </c>
    </row>
    <row r="132" spans="1:11">
      <c r="A132" s="5">
        <v>108</v>
      </c>
      <c r="B132" s="15">
        <v>45318</v>
      </c>
      <c r="C132" s="5">
        <v>466126</v>
      </c>
      <c r="D132" s="5" t="s">
        <v>91</v>
      </c>
      <c r="E132" s="5">
        <v>12</v>
      </c>
      <c r="F132" s="32" t="s">
        <v>264</v>
      </c>
      <c r="G132" t="str">
        <f>VLOOKUP(D132,[1]Proizvodi!$A$1:$F$15,2,FALSE)</f>
        <v>Nameštaj za radnu sobu</v>
      </c>
      <c r="H132" t="str">
        <f>VLOOKUP(D132,[1]Proizvodi!$A$1:$F$15,3,FALSE)</f>
        <v>Radni sto</v>
      </c>
      <c r="I132" t="s">
        <v>433</v>
      </c>
      <c r="J132" t="str">
        <f>VLOOKUP(A132,[1]Klijenti!$A$1:$F$11,2,FALSE)</f>
        <v>Dom &amp; Dekor</v>
      </c>
      <c r="K132" t="str">
        <f>VLOOKUP(A132,[1]Klijenti!$A$1:$F$11,3,FALSE)</f>
        <v>Beogradski region</v>
      </c>
    </row>
    <row r="133" spans="1:11">
      <c r="A133" s="5">
        <v>153</v>
      </c>
      <c r="B133" s="15">
        <v>45308</v>
      </c>
      <c r="C133" s="5">
        <v>243994</v>
      </c>
      <c r="D133" s="5" t="s">
        <v>96</v>
      </c>
      <c r="E133" s="5">
        <v>7</v>
      </c>
      <c r="F133" s="32" t="s">
        <v>265</v>
      </c>
      <c r="G133" t="str">
        <f>VLOOKUP(D133,[1]Proizvodi!$A$1:$F$15,2,FALSE)</f>
        <v>Nameštaj za dnevnu sobu</v>
      </c>
      <c r="H133" t="str">
        <f>VLOOKUP(D133,[1]Proizvodi!$A$1:$F$15,3,FALSE)</f>
        <v>Ogledalo za zid</v>
      </c>
      <c r="I133" t="s">
        <v>436</v>
      </c>
      <c r="J133" t="str">
        <f>VLOOKUP(A133,[1]Klijenti!$A$1:$F$11,2,FALSE)</f>
        <v>Udobni Kutak</v>
      </c>
      <c r="K133" t="str">
        <f>VLOOKUP(A133,[1]Klijenti!$A$1:$F$11,3,FALSE)</f>
        <v>Južni region</v>
      </c>
    </row>
    <row r="134" spans="1:11">
      <c r="A134" s="5">
        <v>195</v>
      </c>
      <c r="B134" s="15">
        <v>45362</v>
      </c>
      <c r="C134" s="5">
        <v>466126</v>
      </c>
      <c r="D134" s="5" t="s">
        <v>84</v>
      </c>
      <c r="E134" s="5">
        <v>25</v>
      </c>
      <c r="F134" s="32" t="s">
        <v>266</v>
      </c>
      <c r="G134" t="str">
        <f>VLOOKUP(D134,[1]Proizvodi!$A$1:$F$15,2,FALSE)</f>
        <v>Trpezarija</v>
      </c>
      <c r="H134" t="str">
        <f>VLOOKUP(D134,[1]Proizvodi!$A$1:$F$15,3,FALSE)</f>
        <v>Stolica za ručavanje</v>
      </c>
      <c r="I134" t="s">
        <v>433</v>
      </c>
      <c r="J134" t="str">
        <f>VLOOKUP(A134,[1]Klijenti!$A$1:$F$11,2,FALSE)</f>
        <v>Moderni Dom</v>
      </c>
      <c r="K134" t="str">
        <f>VLOOKUP(A134,[1]Klijenti!$A$1:$F$11,3,FALSE)</f>
        <v>Srbija</v>
      </c>
    </row>
    <row r="135" spans="1:11">
      <c r="A135" s="5">
        <v>153</v>
      </c>
      <c r="B135" s="15">
        <v>45355</v>
      </c>
      <c r="C135" s="5">
        <v>688897</v>
      </c>
      <c r="D135" s="5" t="s">
        <v>72</v>
      </c>
      <c r="E135" s="5">
        <v>43</v>
      </c>
      <c r="F135" s="32" t="s">
        <v>267</v>
      </c>
      <c r="G135" t="str">
        <f>VLOOKUP(D135,[1]Proizvodi!$A$1:$F$15,2,FALSE)</f>
        <v>Nameštaj za dnevnu sobu</v>
      </c>
      <c r="H135" t="str">
        <f>VLOOKUP(D135,[1]Proizvodi!$A$1:$F$15,3,FALSE)</f>
        <v>Klub sto</v>
      </c>
      <c r="I135" t="s">
        <v>435</v>
      </c>
      <c r="J135" t="str">
        <f>VLOOKUP(A135,[1]Klijenti!$A$1:$F$11,2,FALSE)</f>
        <v>Udobni Kutak</v>
      </c>
      <c r="K135" t="str">
        <f>VLOOKUP(A135,[1]Klijenti!$A$1:$F$11,3,FALSE)</f>
        <v>Južni region</v>
      </c>
    </row>
    <row r="136" spans="1:11">
      <c r="A136" s="5">
        <v>153</v>
      </c>
      <c r="B136" s="15">
        <v>45368</v>
      </c>
      <c r="C136" s="5">
        <v>688897</v>
      </c>
      <c r="D136" s="5" t="s">
        <v>96</v>
      </c>
      <c r="E136" s="5">
        <v>19</v>
      </c>
      <c r="F136" s="32" t="s">
        <v>268</v>
      </c>
      <c r="G136" t="str">
        <f>VLOOKUP(D136,[1]Proizvodi!$A$1:$F$15,2,FALSE)</f>
        <v>Nameštaj za dnevnu sobu</v>
      </c>
      <c r="H136" t="str">
        <f>VLOOKUP(D136,[1]Proizvodi!$A$1:$F$15,3,FALSE)</f>
        <v>Ogledalo za zid</v>
      </c>
      <c r="I136" t="s">
        <v>435</v>
      </c>
      <c r="J136" t="str">
        <f>VLOOKUP(A136,[1]Klijenti!$A$1:$F$11,2,FALSE)</f>
        <v>Udobni Kutak</v>
      </c>
      <c r="K136" t="str">
        <f>VLOOKUP(A136,[1]Klijenti!$A$1:$F$11,3,FALSE)</f>
        <v>Južni region</v>
      </c>
    </row>
    <row r="137" spans="1:11">
      <c r="A137" s="5">
        <v>186</v>
      </c>
      <c r="B137" s="15">
        <v>45373</v>
      </c>
      <c r="C137" s="5">
        <v>243994</v>
      </c>
      <c r="D137" s="5" t="s">
        <v>72</v>
      </c>
      <c r="E137" s="5">
        <v>9</v>
      </c>
      <c r="F137" s="32" t="s">
        <v>269</v>
      </c>
      <c r="G137" t="str">
        <f>VLOOKUP(D137,[1]Proizvodi!$A$1:$F$15,2,FALSE)</f>
        <v>Nameštaj za dnevnu sobu</v>
      </c>
      <c r="H137" t="str">
        <f>VLOOKUP(D137,[1]Proizvodi!$A$1:$F$15,3,FALSE)</f>
        <v>Klub sto</v>
      </c>
      <c r="I137" t="s">
        <v>436</v>
      </c>
      <c r="J137" t="str">
        <f>VLOOKUP(A137,[1]Klijenti!$A$1:$F$11,2,FALSE)</f>
        <v>Kuća- Uređenje i Dizajn</v>
      </c>
      <c r="K137" t="str">
        <f>VLOOKUP(A137,[1]Klijenti!$A$1:$F$11,3,FALSE)</f>
        <v>Beogradski region</v>
      </c>
    </row>
    <row r="138" spans="1:11">
      <c r="A138" s="5">
        <v>179</v>
      </c>
      <c r="B138" s="15">
        <v>45305</v>
      </c>
      <c r="C138" s="5">
        <v>243994</v>
      </c>
      <c r="D138" s="5" t="s">
        <v>94</v>
      </c>
      <c r="E138" s="5">
        <v>32</v>
      </c>
      <c r="F138" s="32" t="s">
        <v>270</v>
      </c>
      <c r="G138" t="str">
        <f>VLOOKUP(D138,[1]Proizvodi!$A$1:$F$15,2,FALSE)</f>
        <v>Nameštaj za dnevnu sobu</v>
      </c>
      <c r="H138" t="str">
        <f>VLOOKUP(D138,[1]Proizvodi!$A$1:$F$15,3,FALSE)</f>
        <v>Polica za knjige</v>
      </c>
      <c r="I138" t="s">
        <v>436</v>
      </c>
      <c r="J138" t="str">
        <f>VLOOKUP(A138,[1]Klijenti!$A$1:$F$11,2,FALSE)</f>
        <v>Elegantni Enterijeri</v>
      </c>
      <c r="K138" t="str">
        <f>VLOOKUP(A138,[1]Klijenti!$A$1:$F$11,3,FALSE)</f>
        <v>Južni i Šumadijski region</v>
      </c>
    </row>
    <row r="139" spans="1:11">
      <c r="A139" s="5">
        <v>186</v>
      </c>
      <c r="B139" s="15">
        <v>45313</v>
      </c>
      <c r="C139" s="5">
        <v>243994</v>
      </c>
      <c r="D139" s="5" t="s">
        <v>86</v>
      </c>
      <c r="E139" s="5">
        <v>50</v>
      </c>
      <c r="F139" s="32" t="s">
        <v>271</v>
      </c>
      <c r="G139" t="str">
        <f>VLOOKUP(D139,[1]Proizvodi!$A$1:$F$15,2,FALSE)</f>
        <v>Nameštaj za spavaću sobu</v>
      </c>
      <c r="H139" t="str">
        <f>VLOOKUP(D139,[1]Proizvodi!$A$1:$F$15,3,FALSE)</f>
        <v>Noćni ormarić</v>
      </c>
      <c r="I139" t="s">
        <v>436</v>
      </c>
      <c r="J139" t="str">
        <f>VLOOKUP(A139,[1]Klijenti!$A$1:$F$11,2,FALSE)</f>
        <v>Kuća- Uređenje i Dizajn</v>
      </c>
      <c r="K139" t="str">
        <f>VLOOKUP(A139,[1]Klijenti!$A$1:$F$11,3,FALSE)</f>
        <v>Beogradski region</v>
      </c>
    </row>
    <row r="140" spans="1:11">
      <c r="A140" s="5">
        <v>179</v>
      </c>
      <c r="B140" s="15">
        <v>45300</v>
      </c>
      <c r="C140" s="5">
        <v>243994</v>
      </c>
      <c r="D140" s="5" t="s">
        <v>80</v>
      </c>
      <c r="E140" s="5">
        <v>13</v>
      </c>
      <c r="F140" s="32" t="s">
        <v>272</v>
      </c>
      <c r="G140" t="str">
        <f>VLOOKUP(D140,[1]Proizvodi!$A$1:$F$15,2,FALSE)</f>
        <v>Nameštaj za dnevnu sobu</v>
      </c>
      <c r="H140" t="str">
        <f>VLOOKUP(D140,[1]Proizvodi!$A$1:$F$15,3,FALSE)</f>
        <v>Ormarić za TV</v>
      </c>
      <c r="I140" t="s">
        <v>436</v>
      </c>
      <c r="J140" t="str">
        <f>VLOOKUP(A140,[1]Klijenti!$A$1:$F$11,2,FALSE)</f>
        <v>Elegantni Enterijeri</v>
      </c>
      <c r="K140" t="str">
        <f>VLOOKUP(A140,[1]Klijenti!$A$1:$F$11,3,FALSE)</f>
        <v>Južni i Šumadijski region</v>
      </c>
    </row>
    <row r="141" spans="1:11">
      <c r="A141" s="5">
        <v>157</v>
      </c>
      <c r="B141" s="15">
        <v>45295</v>
      </c>
      <c r="C141" s="5">
        <v>688897</v>
      </c>
      <c r="D141" s="5" t="s">
        <v>75</v>
      </c>
      <c r="E141" s="5">
        <v>4</v>
      </c>
      <c r="F141" s="32" t="s">
        <v>273</v>
      </c>
      <c r="G141" t="str">
        <f>VLOOKUP(D141,[1]Proizvodi!$A$1:$F$15,2,FALSE)</f>
        <v>Trpezarija</v>
      </c>
      <c r="H141" t="str">
        <f>VLOOKUP(D141,[1]Proizvodi!$A$1:$F$15,3,FALSE)</f>
        <v>Trpezarijski sto</v>
      </c>
      <c r="I141" t="s">
        <v>435</v>
      </c>
      <c r="J141" t="str">
        <f>VLOOKUP(A141,[1]Klijenti!$A$1:$F$11,2,FALSE)</f>
        <v>Stilski Stan</v>
      </c>
      <c r="K141" t="str">
        <f>VLOOKUP(A141,[1]Klijenti!$A$1:$F$11,3,FALSE)</f>
        <v>Vojvodina i Beograd</v>
      </c>
    </row>
    <row r="142" spans="1:11">
      <c r="A142" s="5">
        <v>151</v>
      </c>
      <c r="B142" s="15">
        <v>45295</v>
      </c>
      <c r="C142" s="5">
        <v>443480</v>
      </c>
      <c r="D142" s="5" t="s">
        <v>75</v>
      </c>
      <c r="E142" s="5">
        <v>34</v>
      </c>
      <c r="F142" s="32" t="s">
        <v>274</v>
      </c>
      <c r="G142" t="str">
        <f>VLOOKUP(D142,[1]Proizvodi!$A$1:$F$15,2,FALSE)</f>
        <v>Trpezarija</v>
      </c>
      <c r="H142" t="str">
        <f>VLOOKUP(D142,[1]Proizvodi!$A$1:$F$15,3,FALSE)</f>
        <v>Trpezarijski sto</v>
      </c>
      <c r="I142" t="s">
        <v>434</v>
      </c>
      <c r="J142" t="str">
        <f>VLOOKUP(A142,[1]Klijenti!$A$1:$F$11,2,FALSE)</f>
        <v>Estetski Kutak</v>
      </c>
      <c r="K142" t="str">
        <f>VLOOKUP(A142,[1]Klijenti!$A$1:$F$11,3,FALSE)</f>
        <v>Srbija</v>
      </c>
    </row>
    <row r="143" spans="1:11">
      <c r="A143" s="5">
        <v>163</v>
      </c>
      <c r="B143" s="15">
        <v>45335</v>
      </c>
      <c r="C143" s="5">
        <v>443480</v>
      </c>
      <c r="D143" s="5" t="s">
        <v>96</v>
      </c>
      <c r="E143" s="5">
        <v>20</v>
      </c>
      <c r="F143" s="32" t="s">
        <v>275</v>
      </c>
      <c r="G143" t="str">
        <f>VLOOKUP(D143,[1]Proizvodi!$A$1:$F$15,2,FALSE)</f>
        <v>Nameštaj za dnevnu sobu</v>
      </c>
      <c r="H143" t="str">
        <f>VLOOKUP(D143,[1]Proizvodi!$A$1:$F$15,3,FALSE)</f>
        <v>Ogledalo za zid</v>
      </c>
      <c r="I143" t="s">
        <v>434</v>
      </c>
      <c r="J143" t="str">
        <f>VLOOKUP(A143,[1]Klijenti!$A$1:$F$11,2,FALSE)</f>
        <v>Sofistikacija Doma</v>
      </c>
      <c r="K143" t="str">
        <f>VLOOKUP(A143,[1]Klijenti!$A$1:$F$11,3,FALSE)</f>
        <v>Šumadija</v>
      </c>
    </row>
    <row r="144" spans="1:11">
      <c r="A144" s="5">
        <v>127</v>
      </c>
      <c r="B144" s="15">
        <v>45339</v>
      </c>
      <c r="C144" s="5">
        <v>171444</v>
      </c>
      <c r="D144" s="5" t="s">
        <v>100</v>
      </c>
      <c r="E144" s="5">
        <v>21</v>
      </c>
      <c r="F144" s="32" t="s">
        <v>276</v>
      </c>
      <c r="G144" t="str">
        <f>VLOOKUP(D144,[1]Proizvodi!$A$1:$F$15,2,FALSE)</f>
        <v>Kuhinja</v>
      </c>
      <c r="H144" t="str">
        <f>VLOOKUP(D144,[1]Proizvodi!$A$1:$F$15,3,FALSE)</f>
        <v>Viseća polica</v>
      </c>
      <c r="I144" t="s">
        <v>437</v>
      </c>
      <c r="J144" t="str">
        <f>VLOOKUP(A144,[1]Klijenti!$A$1:$F$11,2,FALSE)</f>
        <v>Luksuzni Dizajn</v>
      </c>
      <c r="K144" t="str">
        <f>VLOOKUP(A144,[1]Klijenti!$A$1:$F$11,3,FALSE)</f>
        <v>Vojvodina</v>
      </c>
    </row>
    <row r="145" spans="1:11">
      <c r="A145" s="5">
        <v>179</v>
      </c>
      <c r="B145" s="15">
        <v>45299</v>
      </c>
      <c r="C145" s="5">
        <v>243994</v>
      </c>
      <c r="D145" s="5" t="s">
        <v>103</v>
      </c>
      <c r="E145" s="5">
        <v>35</v>
      </c>
      <c r="F145" s="32" t="s">
        <v>277</v>
      </c>
      <c r="G145" t="str">
        <f>VLOOKUP(D145,[1]Proizvodi!$A$1:$F$15,2,FALSE)</f>
        <v>Kuhinja</v>
      </c>
      <c r="H145" t="str">
        <f>VLOOKUP(D145,[1]Proizvodi!$A$1:$F$15,3,FALSE)</f>
        <v>Kuhinjsko ostrvo</v>
      </c>
      <c r="I145" t="s">
        <v>436</v>
      </c>
      <c r="J145" t="str">
        <f>VLOOKUP(A145,[1]Klijenti!$A$1:$F$11,2,FALSE)</f>
        <v>Elegantni Enterijeri</v>
      </c>
      <c r="K145" t="str">
        <f>VLOOKUP(A145,[1]Klijenti!$A$1:$F$11,3,FALSE)</f>
        <v>Južni i Šumadijski region</v>
      </c>
    </row>
    <row r="146" spans="1:11">
      <c r="A146" s="5">
        <v>179</v>
      </c>
      <c r="B146" s="15">
        <v>45361</v>
      </c>
      <c r="C146" s="5">
        <v>243994</v>
      </c>
      <c r="D146" s="5" t="s">
        <v>89</v>
      </c>
      <c r="E146" s="5">
        <v>26</v>
      </c>
      <c r="F146" s="32" t="s">
        <v>278</v>
      </c>
      <c r="G146" t="str">
        <f>VLOOKUP(D146,[1]Proizvodi!$A$1:$F$15,2,FALSE)</f>
        <v>Nameštaj za dnevnu sobu</v>
      </c>
      <c r="H146" t="str">
        <f>VLOOKUP(D146,[1]Proizvodi!$A$1:$F$15,3,FALSE)</f>
        <v>Komoda</v>
      </c>
      <c r="I146" t="s">
        <v>436</v>
      </c>
      <c r="J146" t="str">
        <f>VLOOKUP(A146,[1]Klijenti!$A$1:$F$11,2,FALSE)</f>
        <v>Elegantni Enterijeri</v>
      </c>
      <c r="K146" t="str">
        <f>VLOOKUP(A146,[1]Klijenti!$A$1:$F$11,3,FALSE)</f>
        <v>Južni i Šumadijski region</v>
      </c>
    </row>
    <row r="147" spans="1:11">
      <c r="A147" s="5">
        <v>151</v>
      </c>
      <c r="B147" s="15">
        <v>45326</v>
      </c>
      <c r="C147" s="5">
        <v>171444</v>
      </c>
      <c r="D147" s="5" t="s">
        <v>98</v>
      </c>
      <c r="E147" s="5">
        <v>11</v>
      </c>
      <c r="F147" s="32" t="s">
        <v>279</v>
      </c>
      <c r="G147" t="str">
        <f>VLOOKUP(D147,[1]Proizvodi!$A$1:$F$15,2,FALSE)</f>
        <v>Nameštaj za dnevnu sobu</v>
      </c>
      <c r="H147" t="str">
        <f>VLOOKUP(D147,[1]Proizvodi!$A$1:$F$15,3,FALSE)</f>
        <v>Tabure</v>
      </c>
      <c r="I147" t="s">
        <v>437</v>
      </c>
      <c r="J147" t="str">
        <f>VLOOKUP(A147,[1]Klijenti!$A$1:$F$11,2,FALSE)</f>
        <v>Estetski Kutak</v>
      </c>
      <c r="K147" t="str">
        <f>VLOOKUP(A147,[1]Klijenti!$A$1:$F$11,3,FALSE)</f>
        <v>Srbija</v>
      </c>
    </row>
    <row r="148" spans="1:11">
      <c r="A148" s="5">
        <v>195</v>
      </c>
      <c r="B148" s="15">
        <v>45323</v>
      </c>
      <c r="C148" s="5">
        <v>688897</v>
      </c>
      <c r="D148" s="5" t="s">
        <v>100</v>
      </c>
      <c r="E148" s="5">
        <v>30</v>
      </c>
      <c r="F148" s="32" t="s">
        <v>280</v>
      </c>
      <c r="G148" t="str">
        <f>VLOOKUP(D148,[1]Proizvodi!$A$1:$F$15,2,FALSE)</f>
        <v>Kuhinja</v>
      </c>
      <c r="H148" t="str">
        <f>VLOOKUP(D148,[1]Proizvodi!$A$1:$F$15,3,FALSE)</f>
        <v>Viseća polica</v>
      </c>
      <c r="I148" t="s">
        <v>435</v>
      </c>
      <c r="J148" t="str">
        <f>VLOOKUP(A148,[1]Klijenti!$A$1:$F$11,2,FALSE)</f>
        <v>Moderni Dom</v>
      </c>
      <c r="K148" t="str">
        <f>VLOOKUP(A148,[1]Klijenti!$A$1:$F$11,3,FALSE)</f>
        <v>Srbija</v>
      </c>
    </row>
    <row r="149" spans="1:11">
      <c r="A149" s="5">
        <v>152</v>
      </c>
      <c r="B149" s="15">
        <v>45365</v>
      </c>
      <c r="C149" s="5">
        <v>171444</v>
      </c>
      <c r="D149" s="5" t="s">
        <v>98</v>
      </c>
      <c r="E149" s="5">
        <v>40</v>
      </c>
      <c r="F149" s="32" t="s">
        <v>281</v>
      </c>
      <c r="G149" t="str">
        <f>VLOOKUP(D149,[1]Proizvodi!$A$1:$F$15,2,FALSE)</f>
        <v>Nameštaj za dnevnu sobu</v>
      </c>
      <c r="H149" t="str">
        <f>VLOOKUP(D149,[1]Proizvodi!$A$1:$F$15,3,FALSE)</f>
        <v>Tabure</v>
      </c>
      <c r="I149" t="s">
        <v>437</v>
      </c>
      <c r="J149" t="str">
        <f>VLOOKUP(A149,[1]Klijenti!$A$1:$F$11,2,FALSE)</f>
        <v>Prostor za Uživanje</v>
      </c>
      <c r="K149" t="str">
        <f>VLOOKUP(A149,[1]Klijenti!$A$1:$F$11,3,FALSE)</f>
        <v>Srbija</v>
      </c>
    </row>
    <row r="150" spans="1:11">
      <c r="A150" s="5">
        <v>127</v>
      </c>
      <c r="B150" s="15">
        <v>45327</v>
      </c>
      <c r="C150" s="5">
        <v>171444</v>
      </c>
      <c r="D150" s="5" t="s">
        <v>78</v>
      </c>
      <c r="E150" s="5">
        <v>14</v>
      </c>
      <c r="F150" s="32" t="s">
        <v>282</v>
      </c>
      <c r="G150" t="str">
        <f>VLOOKUP(D150,[1]Proizvodi!$A$1:$F$15,2,FALSE)</f>
        <v>Nameštaj za dnevnu sobu</v>
      </c>
      <c r="H150" t="str">
        <f>VLOOKUP(D150,[1]Proizvodi!$A$1:$F$15,3,FALSE)</f>
        <v>Rasklopiva fotelja</v>
      </c>
      <c r="I150" t="s">
        <v>437</v>
      </c>
      <c r="J150" t="str">
        <f>VLOOKUP(A150,[1]Klijenti!$A$1:$F$11,2,FALSE)</f>
        <v>Luksuzni Dizajn</v>
      </c>
      <c r="K150" t="str">
        <f>VLOOKUP(A150,[1]Klijenti!$A$1:$F$11,3,FALSE)</f>
        <v>Vojvodina</v>
      </c>
    </row>
    <row r="151" spans="1:11">
      <c r="A151" s="5">
        <v>163</v>
      </c>
      <c r="B151" s="15">
        <v>45360</v>
      </c>
      <c r="C151" s="5">
        <v>443480</v>
      </c>
      <c r="D151" s="5" t="s">
        <v>78</v>
      </c>
      <c r="E151" s="5">
        <v>5</v>
      </c>
      <c r="F151" s="32" t="s">
        <v>283</v>
      </c>
      <c r="G151" t="str">
        <f>VLOOKUP(D151,[1]Proizvodi!$A$1:$F$15,2,FALSE)</f>
        <v>Nameštaj za dnevnu sobu</v>
      </c>
      <c r="H151" t="str">
        <f>VLOOKUP(D151,[1]Proizvodi!$A$1:$F$15,3,FALSE)</f>
        <v>Rasklopiva fotelja</v>
      </c>
      <c r="I151" t="s">
        <v>434</v>
      </c>
      <c r="J151" t="str">
        <f>VLOOKUP(A151,[1]Klijenti!$A$1:$F$11,2,FALSE)</f>
        <v>Sofistikacija Doma</v>
      </c>
      <c r="K151" t="str">
        <f>VLOOKUP(A151,[1]Klijenti!$A$1:$F$11,3,FALSE)</f>
        <v>Šumadija</v>
      </c>
    </row>
    <row r="152" spans="1:11">
      <c r="A152" s="5">
        <v>195</v>
      </c>
      <c r="B152" s="15">
        <v>45359</v>
      </c>
      <c r="C152" s="5">
        <v>466126</v>
      </c>
      <c r="D152" s="5" t="s">
        <v>80</v>
      </c>
      <c r="E152" s="5">
        <v>48</v>
      </c>
      <c r="F152" s="32" t="s">
        <v>284</v>
      </c>
      <c r="G152" t="str">
        <f>VLOOKUP(D152,[1]Proizvodi!$A$1:$F$15,2,FALSE)</f>
        <v>Nameštaj za dnevnu sobu</v>
      </c>
      <c r="H152" t="str">
        <f>VLOOKUP(D152,[1]Proizvodi!$A$1:$F$15,3,FALSE)</f>
        <v>Ormarić za TV</v>
      </c>
      <c r="I152" t="s">
        <v>433</v>
      </c>
      <c r="J152" t="str">
        <f>VLOOKUP(A152,[1]Klijenti!$A$1:$F$11,2,FALSE)</f>
        <v>Moderni Dom</v>
      </c>
      <c r="K152" t="str">
        <f>VLOOKUP(A152,[1]Klijenti!$A$1:$F$11,3,FALSE)</f>
        <v>Srbija</v>
      </c>
    </row>
    <row r="153" spans="1:11">
      <c r="A153" s="5">
        <v>186</v>
      </c>
      <c r="B153" s="15">
        <v>45378</v>
      </c>
      <c r="C153" s="5">
        <v>243994</v>
      </c>
      <c r="D153" s="5" t="s">
        <v>78</v>
      </c>
      <c r="E153" s="5">
        <v>19</v>
      </c>
      <c r="F153" s="32" t="s">
        <v>285</v>
      </c>
      <c r="G153" t="str">
        <f>VLOOKUP(D153,[1]Proizvodi!$A$1:$F$15,2,FALSE)</f>
        <v>Nameštaj za dnevnu sobu</v>
      </c>
      <c r="H153" t="str">
        <f>VLOOKUP(D153,[1]Proizvodi!$A$1:$F$15,3,FALSE)</f>
        <v>Rasklopiva fotelja</v>
      </c>
      <c r="I153" t="s">
        <v>436</v>
      </c>
      <c r="J153" t="str">
        <f>VLOOKUP(A153,[1]Klijenti!$A$1:$F$11,2,FALSE)</f>
        <v>Kuća- Uređenje i Dizajn</v>
      </c>
      <c r="K153" t="str">
        <f>VLOOKUP(A153,[1]Klijenti!$A$1:$F$11,3,FALSE)</f>
        <v>Beogradski region</v>
      </c>
    </row>
    <row r="154" spans="1:11">
      <c r="A154" s="5">
        <v>127</v>
      </c>
      <c r="B154" s="15">
        <v>45357</v>
      </c>
      <c r="C154" s="5">
        <v>171444</v>
      </c>
      <c r="D154" s="5" t="s">
        <v>91</v>
      </c>
      <c r="E154" s="5">
        <v>35</v>
      </c>
      <c r="F154" s="32" t="s">
        <v>286</v>
      </c>
      <c r="G154" t="str">
        <f>VLOOKUP(D154,[1]Proizvodi!$A$1:$F$15,2,FALSE)</f>
        <v>Nameštaj za radnu sobu</v>
      </c>
      <c r="H154" t="str">
        <f>VLOOKUP(D154,[1]Proizvodi!$A$1:$F$15,3,FALSE)</f>
        <v>Radni sto</v>
      </c>
      <c r="I154" t="s">
        <v>437</v>
      </c>
      <c r="J154" t="str">
        <f>VLOOKUP(A154,[1]Klijenti!$A$1:$F$11,2,FALSE)</f>
        <v>Luksuzni Dizajn</v>
      </c>
      <c r="K154" t="str">
        <f>VLOOKUP(A154,[1]Klijenti!$A$1:$F$11,3,FALSE)</f>
        <v>Vojvodina</v>
      </c>
    </row>
    <row r="155" spans="1:11">
      <c r="A155" s="5">
        <v>157</v>
      </c>
      <c r="B155" s="15">
        <v>45314</v>
      </c>
      <c r="C155" s="5">
        <v>688897</v>
      </c>
      <c r="D155" s="5" t="s">
        <v>89</v>
      </c>
      <c r="E155" s="5">
        <v>6</v>
      </c>
      <c r="F155" s="32" t="s">
        <v>287</v>
      </c>
      <c r="G155" t="str">
        <f>VLOOKUP(D155,[1]Proizvodi!$A$1:$F$15,2,FALSE)</f>
        <v>Nameštaj za dnevnu sobu</v>
      </c>
      <c r="H155" t="str">
        <f>VLOOKUP(D155,[1]Proizvodi!$A$1:$F$15,3,FALSE)</f>
        <v>Komoda</v>
      </c>
      <c r="I155" t="s">
        <v>435</v>
      </c>
      <c r="J155" t="str">
        <f>VLOOKUP(A155,[1]Klijenti!$A$1:$F$11,2,FALSE)</f>
        <v>Stilski Stan</v>
      </c>
      <c r="K155" t="str">
        <f>VLOOKUP(A155,[1]Klijenti!$A$1:$F$11,3,FALSE)</f>
        <v>Vojvodina i Beograd</v>
      </c>
    </row>
    <row r="156" spans="1:11">
      <c r="A156" s="5">
        <v>195</v>
      </c>
      <c r="B156" s="15">
        <v>45365</v>
      </c>
      <c r="C156" s="5">
        <v>466126</v>
      </c>
      <c r="D156" s="5" t="s">
        <v>80</v>
      </c>
      <c r="E156" s="5">
        <v>39</v>
      </c>
      <c r="F156" s="32" t="s">
        <v>288</v>
      </c>
      <c r="G156" t="str">
        <f>VLOOKUP(D156,[1]Proizvodi!$A$1:$F$15,2,FALSE)</f>
        <v>Nameštaj za dnevnu sobu</v>
      </c>
      <c r="H156" t="str">
        <f>VLOOKUP(D156,[1]Proizvodi!$A$1:$F$15,3,FALSE)</f>
        <v>Ormarić za TV</v>
      </c>
      <c r="I156" t="s">
        <v>433</v>
      </c>
      <c r="J156" t="str">
        <f>VLOOKUP(A156,[1]Klijenti!$A$1:$F$11,2,FALSE)</f>
        <v>Moderni Dom</v>
      </c>
      <c r="K156" t="str">
        <f>VLOOKUP(A156,[1]Klijenti!$A$1:$F$11,3,FALSE)</f>
        <v>Srbija</v>
      </c>
    </row>
    <row r="157" spans="1:11">
      <c r="A157" s="5">
        <v>179</v>
      </c>
      <c r="B157" s="15">
        <v>45353</v>
      </c>
      <c r="C157" s="5">
        <v>243994</v>
      </c>
      <c r="D157" s="5" t="s">
        <v>75</v>
      </c>
      <c r="E157" s="5">
        <v>6</v>
      </c>
      <c r="F157" s="32" t="s">
        <v>289</v>
      </c>
      <c r="G157" t="str">
        <f>VLOOKUP(D157,[1]Proizvodi!$A$1:$F$15,2,FALSE)</f>
        <v>Trpezarija</v>
      </c>
      <c r="H157" t="str">
        <f>VLOOKUP(D157,[1]Proizvodi!$A$1:$F$15,3,FALSE)</f>
        <v>Trpezarijski sto</v>
      </c>
      <c r="I157" t="s">
        <v>436</v>
      </c>
      <c r="J157" t="str">
        <f>VLOOKUP(A157,[1]Klijenti!$A$1:$F$11,2,FALSE)</f>
        <v>Elegantni Enterijeri</v>
      </c>
      <c r="K157" t="str">
        <f>VLOOKUP(A157,[1]Klijenti!$A$1:$F$11,3,FALSE)</f>
        <v>Južni i Šumadijski region</v>
      </c>
    </row>
    <row r="158" spans="1:11">
      <c r="A158" s="5">
        <v>108</v>
      </c>
      <c r="B158" s="15">
        <v>45327</v>
      </c>
      <c r="C158" s="5">
        <v>466126</v>
      </c>
      <c r="D158" s="5" t="s">
        <v>91</v>
      </c>
      <c r="E158" s="5">
        <v>33</v>
      </c>
      <c r="F158" s="32" t="s">
        <v>290</v>
      </c>
      <c r="G158" t="str">
        <f>VLOOKUP(D158,[1]Proizvodi!$A$1:$F$15,2,FALSE)</f>
        <v>Nameštaj za radnu sobu</v>
      </c>
      <c r="H158" t="str">
        <f>VLOOKUP(D158,[1]Proizvodi!$A$1:$F$15,3,FALSE)</f>
        <v>Radni sto</v>
      </c>
      <c r="I158" t="s">
        <v>433</v>
      </c>
      <c r="J158" t="str">
        <f>VLOOKUP(A158,[1]Klijenti!$A$1:$F$11,2,FALSE)</f>
        <v>Dom &amp; Dekor</v>
      </c>
      <c r="K158" t="str">
        <f>VLOOKUP(A158,[1]Klijenti!$A$1:$F$11,3,FALSE)</f>
        <v>Beogradski region</v>
      </c>
    </row>
    <row r="159" spans="1:11">
      <c r="A159" s="5">
        <v>195</v>
      </c>
      <c r="B159" s="15">
        <v>45366</v>
      </c>
      <c r="C159" s="5">
        <v>466126</v>
      </c>
      <c r="D159" s="5" t="s">
        <v>84</v>
      </c>
      <c r="E159" s="5">
        <v>17</v>
      </c>
      <c r="F159" s="32" t="s">
        <v>291</v>
      </c>
      <c r="G159" t="str">
        <f>VLOOKUP(D159,[1]Proizvodi!$A$1:$F$15,2,FALSE)</f>
        <v>Trpezarija</v>
      </c>
      <c r="H159" t="str">
        <f>VLOOKUP(D159,[1]Proizvodi!$A$1:$F$15,3,FALSE)</f>
        <v>Stolica za ručavanje</v>
      </c>
      <c r="I159" t="s">
        <v>433</v>
      </c>
      <c r="J159" t="str">
        <f>VLOOKUP(A159,[1]Klijenti!$A$1:$F$11,2,FALSE)</f>
        <v>Moderni Dom</v>
      </c>
      <c r="K159" t="str">
        <f>VLOOKUP(A159,[1]Klijenti!$A$1:$F$11,3,FALSE)</f>
        <v>Srbija</v>
      </c>
    </row>
    <row r="160" spans="1:11">
      <c r="A160" s="5">
        <v>179</v>
      </c>
      <c r="B160" s="15">
        <v>45354</v>
      </c>
      <c r="C160" s="5">
        <v>243994</v>
      </c>
      <c r="D160" s="5" t="s">
        <v>75</v>
      </c>
      <c r="E160" s="5">
        <v>9</v>
      </c>
      <c r="F160" s="32" t="s">
        <v>292</v>
      </c>
      <c r="G160" t="str">
        <f>VLOOKUP(D160,[1]Proizvodi!$A$1:$F$15,2,FALSE)</f>
        <v>Trpezarija</v>
      </c>
      <c r="H160" t="str">
        <f>VLOOKUP(D160,[1]Proizvodi!$A$1:$F$15,3,FALSE)</f>
        <v>Trpezarijski sto</v>
      </c>
      <c r="I160" t="s">
        <v>436</v>
      </c>
      <c r="J160" t="str">
        <f>VLOOKUP(A160,[1]Klijenti!$A$1:$F$11,2,FALSE)</f>
        <v>Elegantni Enterijeri</v>
      </c>
      <c r="K160" t="str">
        <f>VLOOKUP(A160,[1]Klijenti!$A$1:$F$11,3,FALSE)</f>
        <v>Južni i Šumadijski region</v>
      </c>
    </row>
    <row r="161" spans="1:11">
      <c r="A161" s="5">
        <v>153</v>
      </c>
      <c r="B161" s="15">
        <v>45336</v>
      </c>
      <c r="C161" s="5">
        <v>688897</v>
      </c>
      <c r="D161" s="5" t="s">
        <v>96</v>
      </c>
      <c r="E161" s="5">
        <v>5</v>
      </c>
      <c r="F161" s="32" t="s">
        <v>293</v>
      </c>
      <c r="G161" t="str">
        <f>VLOOKUP(D161,[1]Proizvodi!$A$1:$F$15,2,FALSE)</f>
        <v>Nameštaj za dnevnu sobu</v>
      </c>
      <c r="H161" t="str">
        <f>VLOOKUP(D161,[1]Proizvodi!$A$1:$F$15,3,FALSE)</f>
        <v>Ogledalo za zid</v>
      </c>
      <c r="I161" t="s">
        <v>435</v>
      </c>
      <c r="J161" t="str">
        <f>VLOOKUP(A161,[1]Klijenti!$A$1:$F$11,2,FALSE)</f>
        <v>Udobni Kutak</v>
      </c>
      <c r="K161" t="str">
        <f>VLOOKUP(A161,[1]Klijenti!$A$1:$F$11,3,FALSE)</f>
        <v>Južni region</v>
      </c>
    </row>
    <row r="162" spans="1:11">
      <c r="A162" s="5">
        <v>151</v>
      </c>
      <c r="B162" s="15">
        <v>45315</v>
      </c>
      <c r="C162" s="5">
        <v>443480</v>
      </c>
      <c r="D162" s="5" t="s">
        <v>80</v>
      </c>
      <c r="E162" s="5">
        <v>20</v>
      </c>
      <c r="F162" s="32" t="s">
        <v>294</v>
      </c>
      <c r="G162" t="str">
        <f>VLOOKUP(D162,[1]Proizvodi!$A$1:$F$15,2,FALSE)</f>
        <v>Nameštaj za dnevnu sobu</v>
      </c>
      <c r="H162" t="str">
        <f>VLOOKUP(D162,[1]Proizvodi!$A$1:$F$15,3,FALSE)</f>
        <v>Ormarić za TV</v>
      </c>
      <c r="I162" t="s">
        <v>434</v>
      </c>
      <c r="J162" t="str">
        <f>VLOOKUP(A162,[1]Klijenti!$A$1:$F$11,2,FALSE)</f>
        <v>Estetski Kutak</v>
      </c>
      <c r="K162" t="str">
        <f>VLOOKUP(A162,[1]Klijenti!$A$1:$F$11,3,FALSE)</f>
        <v>Srbija</v>
      </c>
    </row>
    <row r="163" spans="1:11">
      <c r="A163" s="5">
        <v>195</v>
      </c>
      <c r="B163" s="15">
        <v>45335</v>
      </c>
      <c r="C163" s="5">
        <v>466126</v>
      </c>
      <c r="D163" s="5" t="s">
        <v>103</v>
      </c>
      <c r="E163" s="5">
        <v>20</v>
      </c>
      <c r="F163" s="32" t="s">
        <v>295</v>
      </c>
      <c r="G163" t="str">
        <f>VLOOKUP(D163,[1]Proizvodi!$A$1:$F$15,2,FALSE)</f>
        <v>Kuhinja</v>
      </c>
      <c r="H163" t="str">
        <f>VLOOKUP(D163,[1]Proizvodi!$A$1:$F$15,3,FALSE)</f>
        <v>Kuhinjsko ostrvo</v>
      </c>
      <c r="I163" t="s">
        <v>433</v>
      </c>
      <c r="J163" t="str">
        <f>VLOOKUP(A163,[1]Klijenti!$A$1:$F$11,2,FALSE)</f>
        <v>Moderni Dom</v>
      </c>
      <c r="K163" t="str">
        <f>VLOOKUP(A163,[1]Klijenti!$A$1:$F$11,3,FALSE)</f>
        <v>Srbija</v>
      </c>
    </row>
    <row r="164" spans="1:11">
      <c r="A164" s="5">
        <v>195</v>
      </c>
      <c r="B164" s="15">
        <v>45298</v>
      </c>
      <c r="C164" s="5">
        <v>466126</v>
      </c>
      <c r="D164" s="5" t="s">
        <v>89</v>
      </c>
      <c r="E164" s="5">
        <v>50</v>
      </c>
      <c r="F164" s="32" t="s">
        <v>296</v>
      </c>
      <c r="G164" t="str">
        <f>VLOOKUP(D164,[1]Proizvodi!$A$1:$F$15,2,FALSE)</f>
        <v>Nameštaj za dnevnu sobu</v>
      </c>
      <c r="H164" t="str">
        <f>VLOOKUP(D164,[1]Proizvodi!$A$1:$F$15,3,FALSE)</f>
        <v>Komoda</v>
      </c>
      <c r="I164" t="s">
        <v>433</v>
      </c>
      <c r="J164" t="str">
        <f>VLOOKUP(A164,[1]Klijenti!$A$1:$F$11,2,FALSE)</f>
        <v>Moderni Dom</v>
      </c>
      <c r="K164" t="str">
        <f>VLOOKUP(A164,[1]Klijenti!$A$1:$F$11,3,FALSE)</f>
        <v>Srbija</v>
      </c>
    </row>
    <row r="165" spans="1:11">
      <c r="A165" s="5">
        <v>152</v>
      </c>
      <c r="B165" s="15">
        <v>45331</v>
      </c>
      <c r="C165" s="5">
        <v>171444</v>
      </c>
      <c r="D165" s="5" t="s">
        <v>80</v>
      </c>
      <c r="E165" s="5">
        <v>34</v>
      </c>
      <c r="F165" s="32" t="s">
        <v>297</v>
      </c>
      <c r="G165" t="str">
        <f>VLOOKUP(D165,[1]Proizvodi!$A$1:$F$15,2,FALSE)</f>
        <v>Nameštaj za dnevnu sobu</v>
      </c>
      <c r="H165" t="str">
        <f>VLOOKUP(D165,[1]Proizvodi!$A$1:$F$15,3,FALSE)</f>
        <v>Ormarić za TV</v>
      </c>
      <c r="I165" t="s">
        <v>437</v>
      </c>
      <c r="J165" t="str">
        <f>VLOOKUP(A165,[1]Klijenti!$A$1:$F$11,2,FALSE)</f>
        <v>Prostor za Uživanje</v>
      </c>
      <c r="K165" t="str">
        <f>VLOOKUP(A165,[1]Klijenti!$A$1:$F$11,3,FALSE)</f>
        <v>Srbija</v>
      </c>
    </row>
    <row r="166" spans="1:11">
      <c r="A166" s="5">
        <v>179</v>
      </c>
      <c r="B166" s="15">
        <v>45318</v>
      </c>
      <c r="C166" s="5">
        <v>243994</v>
      </c>
      <c r="D166" s="5" t="s">
        <v>98</v>
      </c>
      <c r="E166" s="5">
        <v>33</v>
      </c>
      <c r="F166" s="32" t="s">
        <v>298</v>
      </c>
      <c r="G166" t="str">
        <f>VLOOKUP(D166,[1]Proizvodi!$A$1:$F$15,2,FALSE)</f>
        <v>Nameštaj za dnevnu sobu</v>
      </c>
      <c r="H166" t="str">
        <f>VLOOKUP(D166,[1]Proizvodi!$A$1:$F$15,3,FALSE)</f>
        <v>Tabure</v>
      </c>
      <c r="I166" t="s">
        <v>436</v>
      </c>
      <c r="J166" t="str">
        <f>VLOOKUP(A166,[1]Klijenti!$A$1:$F$11,2,FALSE)</f>
        <v>Elegantni Enterijeri</v>
      </c>
      <c r="K166" t="str">
        <f>VLOOKUP(A166,[1]Klijenti!$A$1:$F$11,3,FALSE)</f>
        <v>Južni i Šumadijski region</v>
      </c>
    </row>
    <row r="167" spans="1:11">
      <c r="A167" s="5">
        <v>157</v>
      </c>
      <c r="B167" s="15">
        <v>45356</v>
      </c>
      <c r="C167" s="5">
        <v>688897</v>
      </c>
      <c r="D167" s="5" t="s">
        <v>84</v>
      </c>
      <c r="E167" s="5">
        <v>5</v>
      </c>
      <c r="F167" s="32" t="s">
        <v>299</v>
      </c>
      <c r="G167" t="str">
        <f>VLOOKUP(D167,[1]Proizvodi!$A$1:$F$15,2,FALSE)</f>
        <v>Trpezarija</v>
      </c>
      <c r="H167" t="str">
        <f>VLOOKUP(D167,[1]Proizvodi!$A$1:$F$15,3,FALSE)</f>
        <v>Stolica za ručavanje</v>
      </c>
      <c r="I167" t="s">
        <v>435</v>
      </c>
      <c r="J167" t="str">
        <f>VLOOKUP(A167,[1]Klijenti!$A$1:$F$11,2,FALSE)</f>
        <v>Stilski Stan</v>
      </c>
      <c r="K167" t="str">
        <f>VLOOKUP(A167,[1]Klijenti!$A$1:$F$11,3,FALSE)</f>
        <v>Vojvodina i Beograd</v>
      </c>
    </row>
    <row r="168" spans="1:11">
      <c r="A168" s="5">
        <v>186</v>
      </c>
      <c r="B168" s="15">
        <v>45303</v>
      </c>
      <c r="C168" s="5">
        <v>243994</v>
      </c>
      <c r="D168" s="5" t="s">
        <v>72</v>
      </c>
      <c r="E168" s="5">
        <v>20</v>
      </c>
      <c r="F168" s="32" t="s">
        <v>300</v>
      </c>
      <c r="G168" t="str">
        <f>VLOOKUP(D168,[1]Proizvodi!$A$1:$F$15,2,FALSE)</f>
        <v>Nameštaj za dnevnu sobu</v>
      </c>
      <c r="H168" t="str">
        <f>VLOOKUP(D168,[1]Proizvodi!$A$1:$F$15,3,FALSE)</f>
        <v>Klub sto</v>
      </c>
      <c r="I168" t="s">
        <v>436</v>
      </c>
      <c r="J168" t="str">
        <f>VLOOKUP(A168,[1]Klijenti!$A$1:$F$11,2,FALSE)</f>
        <v>Kuća- Uređenje i Dizajn</v>
      </c>
      <c r="K168" t="str">
        <f>VLOOKUP(A168,[1]Klijenti!$A$1:$F$11,3,FALSE)</f>
        <v>Beogradski region</v>
      </c>
    </row>
    <row r="169" spans="1:11">
      <c r="A169" s="5">
        <v>151</v>
      </c>
      <c r="B169" s="15">
        <v>45313</v>
      </c>
      <c r="C169" s="5">
        <v>443480</v>
      </c>
      <c r="D169" s="5" t="s">
        <v>94</v>
      </c>
      <c r="E169" s="5">
        <v>10</v>
      </c>
      <c r="F169" s="32" t="s">
        <v>301</v>
      </c>
      <c r="G169" t="str">
        <f>VLOOKUP(D169,[1]Proizvodi!$A$1:$F$15,2,FALSE)</f>
        <v>Nameštaj za dnevnu sobu</v>
      </c>
      <c r="H169" t="str">
        <f>VLOOKUP(D169,[1]Proizvodi!$A$1:$F$15,3,FALSE)</f>
        <v>Polica za knjige</v>
      </c>
      <c r="I169" t="s">
        <v>434</v>
      </c>
      <c r="J169" t="str">
        <f>VLOOKUP(A169,[1]Klijenti!$A$1:$F$11,2,FALSE)</f>
        <v>Estetski Kutak</v>
      </c>
      <c r="K169" t="str">
        <f>VLOOKUP(A169,[1]Klijenti!$A$1:$F$11,3,FALSE)</f>
        <v>Srbija</v>
      </c>
    </row>
    <row r="170" spans="1:11">
      <c r="A170" s="5">
        <v>179</v>
      </c>
      <c r="B170" s="15">
        <v>45323</v>
      </c>
      <c r="C170" s="5">
        <v>243994</v>
      </c>
      <c r="D170" s="5" t="s">
        <v>94</v>
      </c>
      <c r="E170" s="5">
        <v>50</v>
      </c>
      <c r="F170" s="32" t="s">
        <v>302</v>
      </c>
      <c r="G170" t="str">
        <f>VLOOKUP(D170,[1]Proizvodi!$A$1:$F$15,2,FALSE)</f>
        <v>Nameštaj za dnevnu sobu</v>
      </c>
      <c r="H170" t="str">
        <f>VLOOKUP(D170,[1]Proizvodi!$A$1:$F$15,3,FALSE)</f>
        <v>Polica za knjige</v>
      </c>
      <c r="I170" t="s">
        <v>436</v>
      </c>
      <c r="J170" t="str">
        <f>VLOOKUP(A170,[1]Klijenti!$A$1:$F$11,2,FALSE)</f>
        <v>Elegantni Enterijeri</v>
      </c>
      <c r="K170" t="str">
        <f>VLOOKUP(A170,[1]Klijenti!$A$1:$F$11,3,FALSE)</f>
        <v>Južni i Šumadijski region</v>
      </c>
    </row>
    <row r="171" spans="1:11">
      <c r="A171" s="5">
        <v>186</v>
      </c>
      <c r="B171" s="15">
        <v>45377</v>
      </c>
      <c r="C171" s="5">
        <v>243994</v>
      </c>
      <c r="D171" s="5" t="s">
        <v>78</v>
      </c>
      <c r="E171" s="5">
        <v>10</v>
      </c>
      <c r="F171" s="32" t="s">
        <v>303</v>
      </c>
      <c r="G171" t="str">
        <f>VLOOKUP(D171,[1]Proizvodi!$A$1:$F$15,2,FALSE)</f>
        <v>Nameštaj za dnevnu sobu</v>
      </c>
      <c r="H171" t="str">
        <f>VLOOKUP(D171,[1]Proizvodi!$A$1:$F$15,3,FALSE)</f>
        <v>Rasklopiva fotelja</v>
      </c>
      <c r="I171" t="s">
        <v>436</v>
      </c>
      <c r="J171" t="str">
        <f>VLOOKUP(A171,[1]Klijenti!$A$1:$F$11,2,FALSE)</f>
        <v>Kuća- Uređenje i Dizajn</v>
      </c>
      <c r="K171" t="str">
        <f>VLOOKUP(A171,[1]Klijenti!$A$1:$F$11,3,FALSE)</f>
        <v>Beogradski region</v>
      </c>
    </row>
    <row r="172" spans="1:11">
      <c r="A172" s="5">
        <v>152</v>
      </c>
      <c r="B172" s="15">
        <v>45330</v>
      </c>
      <c r="C172" s="5">
        <v>171444</v>
      </c>
      <c r="D172" s="5" t="s">
        <v>89</v>
      </c>
      <c r="E172" s="5">
        <v>3</v>
      </c>
      <c r="F172" s="32" t="s">
        <v>304</v>
      </c>
      <c r="G172" t="str">
        <f>VLOOKUP(D172,[1]Proizvodi!$A$1:$F$15,2,FALSE)</f>
        <v>Nameštaj za dnevnu sobu</v>
      </c>
      <c r="H172" t="str">
        <f>VLOOKUP(D172,[1]Proizvodi!$A$1:$F$15,3,FALSE)</f>
        <v>Komoda</v>
      </c>
      <c r="I172" t="s">
        <v>437</v>
      </c>
      <c r="J172" t="str">
        <f>VLOOKUP(A172,[1]Klijenti!$A$1:$F$11,2,FALSE)</f>
        <v>Prostor za Uživanje</v>
      </c>
      <c r="K172" t="str">
        <f>VLOOKUP(A172,[1]Klijenti!$A$1:$F$11,3,FALSE)</f>
        <v>Srbija</v>
      </c>
    </row>
    <row r="173" spans="1:11">
      <c r="A173" s="5">
        <v>127</v>
      </c>
      <c r="B173" s="15">
        <v>45312</v>
      </c>
      <c r="C173" s="5">
        <v>171444</v>
      </c>
      <c r="D173" s="5" t="s">
        <v>96</v>
      </c>
      <c r="E173" s="5">
        <v>25</v>
      </c>
      <c r="F173" s="32" t="s">
        <v>305</v>
      </c>
      <c r="G173" t="str">
        <f>VLOOKUP(D173,[1]Proizvodi!$A$1:$F$15,2,FALSE)</f>
        <v>Nameštaj za dnevnu sobu</v>
      </c>
      <c r="H173" t="str">
        <f>VLOOKUP(D173,[1]Proizvodi!$A$1:$F$15,3,FALSE)</f>
        <v>Ogledalo za zid</v>
      </c>
      <c r="I173" t="s">
        <v>437</v>
      </c>
      <c r="J173" t="str">
        <f>VLOOKUP(A173,[1]Klijenti!$A$1:$F$11,2,FALSE)</f>
        <v>Luksuzni Dizajn</v>
      </c>
      <c r="K173" t="str">
        <f>VLOOKUP(A173,[1]Klijenti!$A$1:$F$11,3,FALSE)</f>
        <v>Vojvodina</v>
      </c>
    </row>
    <row r="174" spans="1:11">
      <c r="A174" s="5">
        <v>157</v>
      </c>
      <c r="B174" s="15">
        <v>45296</v>
      </c>
      <c r="C174" s="5">
        <v>688897</v>
      </c>
      <c r="D174" s="5" t="s">
        <v>103</v>
      </c>
      <c r="E174" s="5">
        <v>18</v>
      </c>
      <c r="F174" s="32" t="s">
        <v>306</v>
      </c>
      <c r="G174" t="str">
        <f>VLOOKUP(D174,[1]Proizvodi!$A$1:$F$15,2,FALSE)</f>
        <v>Kuhinja</v>
      </c>
      <c r="H174" t="str">
        <f>VLOOKUP(D174,[1]Proizvodi!$A$1:$F$15,3,FALSE)</f>
        <v>Kuhinjsko ostrvo</v>
      </c>
      <c r="I174" t="s">
        <v>435</v>
      </c>
      <c r="J174" t="str">
        <f>VLOOKUP(A174,[1]Klijenti!$A$1:$F$11,2,FALSE)</f>
        <v>Stilski Stan</v>
      </c>
      <c r="K174" t="str">
        <f>VLOOKUP(A174,[1]Klijenti!$A$1:$F$11,3,FALSE)</f>
        <v>Vojvodina i Beograd</v>
      </c>
    </row>
    <row r="175" spans="1:11">
      <c r="A175" s="5">
        <v>108</v>
      </c>
      <c r="B175" s="15">
        <v>45317</v>
      </c>
      <c r="C175" s="5">
        <v>466126</v>
      </c>
      <c r="D175" s="5" t="s">
        <v>96</v>
      </c>
      <c r="E175" s="5">
        <v>24</v>
      </c>
      <c r="F175" s="32" t="s">
        <v>307</v>
      </c>
      <c r="G175" t="str">
        <f>VLOOKUP(D175,[1]Proizvodi!$A$1:$F$15,2,FALSE)</f>
        <v>Nameštaj za dnevnu sobu</v>
      </c>
      <c r="H175" t="str">
        <f>VLOOKUP(D175,[1]Proizvodi!$A$1:$F$15,3,FALSE)</f>
        <v>Ogledalo za zid</v>
      </c>
      <c r="I175" t="s">
        <v>433</v>
      </c>
      <c r="J175" t="str">
        <f>VLOOKUP(A175,[1]Klijenti!$A$1:$F$11,2,FALSE)</f>
        <v>Dom &amp; Dekor</v>
      </c>
      <c r="K175" t="str">
        <f>VLOOKUP(A175,[1]Klijenti!$A$1:$F$11,3,FALSE)</f>
        <v>Beogradski region</v>
      </c>
    </row>
    <row r="176" spans="1:11">
      <c r="A176" s="5">
        <v>186</v>
      </c>
      <c r="B176" s="15">
        <v>45309</v>
      </c>
      <c r="C176" s="5">
        <v>243994</v>
      </c>
      <c r="D176" s="5" t="s">
        <v>100</v>
      </c>
      <c r="E176" s="5">
        <v>37</v>
      </c>
      <c r="F176" s="32" t="s">
        <v>308</v>
      </c>
      <c r="G176" t="str">
        <f>VLOOKUP(D176,[1]Proizvodi!$A$1:$F$15,2,FALSE)</f>
        <v>Kuhinja</v>
      </c>
      <c r="H176" t="str">
        <f>VLOOKUP(D176,[1]Proizvodi!$A$1:$F$15,3,FALSE)</f>
        <v>Viseća polica</v>
      </c>
      <c r="I176" t="s">
        <v>436</v>
      </c>
      <c r="J176" t="str">
        <f>VLOOKUP(A176,[1]Klijenti!$A$1:$F$11,2,FALSE)</f>
        <v>Kuća- Uređenje i Dizajn</v>
      </c>
      <c r="K176" t="str">
        <f>VLOOKUP(A176,[1]Klijenti!$A$1:$F$11,3,FALSE)</f>
        <v>Beogradski region</v>
      </c>
    </row>
    <row r="177" spans="1:11">
      <c r="A177" s="5">
        <v>179</v>
      </c>
      <c r="B177" s="15">
        <v>45304</v>
      </c>
      <c r="C177" s="5">
        <v>243994</v>
      </c>
      <c r="D177" s="5" t="s">
        <v>89</v>
      </c>
      <c r="E177" s="5">
        <v>6</v>
      </c>
      <c r="F177" s="32" t="s">
        <v>309</v>
      </c>
      <c r="G177" t="str">
        <f>VLOOKUP(D177,[1]Proizvodi!$A$1:$F$15,2,FALSE)</f>
        <v>Nameštaj za dnevnu sobu</v>
      </c>
      <c r="H177" t="str">
        <f>VLOOKUP(D177,[1]Proizvodi!$A$1:$F$15,3,FALSE)</f>
        <v>Komoda</v>
      </c>
      <c r="I177" t="s">
        <v>436</v>
      </c>
      <c r="J177" t="str">
        <f>VLOOKUP(A177,[1]Klijenti!$A$1:$F$11,2,FALSE)</f>
        <v>Elegantni Enterijeri</v>
      </c>
      <c r="K177" t="str">
        <f>VLOOKUP(A177,[1]Klijenti!$A$1:$F$11,3,FALSE)</f>
        <v>Južni i Šumadijski region</v>
      </c>
    </row>
    <row r="178" spans="1:11">
      <c r="A178" s="5">
        <v>127</v>
      </c>
      <c r="B178" s="15">
        <v>45293</v>
      </c>
      <c r="C178" s="5">
        <v>171444</v>
      </c>
      <c r="D178" s="5" t="s">
        <v>72</v>
      </c>
      <c r="E178" s="5">
        <v>24</v>
      </c>
      <c r="F178" s="32" t="s">
        <v>310</v>
      </c>
      <c r="G178" t="str">
        <f>VLOOKUP(D178,[1]Proizvodi!$A$1:$F$15,2,FALSE)</f>
        <v>Nameštaj za dnevnu sobu</v>
      </c>
      <c r="H178" t="str">
        <f>VLOOKUP(D178,[1]Proizvodi!$A$1:$F$15,3,FALSE)</f>
        <v>Klub sto</v>
      </c>
      <c r="I178" t="s">
        <v>437</v>
      </c>
      <c r="J178" t="str">
        <f>VLOOKUP(A178,[1]Klijenti!$A$1:$F$11,2,FALSE)</f>
        <v>Luksuzni Dizajn</v>
      </c>
      <c r="K178" t="str">
        <f>VLOOKUP(A178,[1]Klijenti!$A$1:$F$11,3,FALSE)</f>
        <v>Vojvodina</v>
      </c>
    </row>
    <row r="179" spans="1:11">
      <c r="A179" s="5">
        <v>195</v>
      </c>
      <c r="B179" s="15">
        <v>45341</v>
      </c>
      <c r="C179" s="5">
        <v>443480</v>
      </c>
      <c r="D179" s="5" t="s">
        <v>94</v>
      </c>
      <c r="E179" s="5">
        <v>20</v>
      </c>
      <c r="F179" s="32" t="s">
        <v>311</v>
      </c>
      <c r="G179" t="str">
        <f>VLOOKUP(D179,[1]Proizvodi!$A$1:$F$15,2,FALSE)</f>
        <v>Nameštaj za dnevnu sobu</v>
      </c>
      <c r="H179" t="str">
        <f>VLOOKUP(D179,[1]Proizvodi!$A$1:$F$15,3,FALSE)</f>
        <v>Polica za knjige</v>
      </c>
      <c r="I179" t="s">
        <v>434</v>
      </c>
      <c r="J179" t="str">
        <f>VLOOKUP(A179,[1]Klijenti!$A$1:$F$11,2,FALSE)</f>
        <v>Moderni Dom</v>
      </c>
      <c r="K179" t="str">
        <f>VLOOKUP(A179,[1]Klijenti!$A$1:$F$11,3,FALSE)</f>
        <v>Srbija</v>
      </c>
    </row>
    <row r="180" spans="1:11">
      <c r="A180" s="5">
        <v>108</v>
      </c>
      <c r="B180" s="15">
        <v>45363</v>
      </c>
      <c r="C180" s="5">
        <v>466126</v>
      </c>
      <c r="D180" s="5" t="s">
        <v>72</v>
      </c>
      <c r="E180" s="5">
        <v>2</v>
      </c>
      <c r="F180" s="32" t="s">
        <v>312</v>
      </c>
      <c r="G180" t="str">
        <f>VLOOKUP(D180,[1]Proizvodi!$A$1:$F$15,2,FALSE)</f>
        <v>Nameštaj za dnevnu sobu</v>
      </c>
      <c r="H180" t="str">
        <f>VLOOKUP(D180,[1]Proizvodi!$A$1:$F$15,3,FALSE)</f>
        <v>Klub sto</v>
      </c>
      <c r="I180" t="s">
        <v>433</v>
      </c>
      <c r="J180" t="str">
        <f>VLOOKUP(A180,[1]Klijenti!$A$1:$F$11,2,FALSE)</f>
        <v>Dom &amp; Dekor</v>
      </c>
      <c r="K180" t="str">
        <f>VLOOKUP(A180,[1]Klijenti!$A$1:$F$11,3,FALSE)</f>
        <v>Beogradski region</v>
      </c>
    </row>
    <row r="181" spans="1:11">
      <c r="A181" s="5">
        <v>179</v>
      </c>
      <c r="B181" s="15">
        <v>45334</v>
      </c>
      <c r="C181" s="5">
        <v>243994</v>
      </c>
      <c r="D181" s="5" t="s">
        <v>80</v>
      </c>
      <c r="E181" s="5">
        <v>5</v>
      </c>
      <c r="F181" s="32" t="s">
        <v>313</v>
      </c>
      <c r="G181" t="str">
        <f>VLOOKUP(D181,[1]Proizvodi!$A$1:$F$15,2,FALSE)</f>
        <v>Nameštaj za dnevnu sobu</v>
      </c>
      <c r="H181" t="str">
        <f>VLOOKUP(D181,[1]Proizvodi!$A$1:$F$15,3,FALSE)</f>
        <v>Ormarić za TV</v>
      </c>
      <c r="I181" t="s">
        <v>436</v>
      </c>
      <c r="J181" t="str">
        <f>VLOOKUP(A181,[1]Klijenti!$A$1:$F$11,2,FALSE)</f>
        <v>Elegantni Enterijeri</v>
      </c>
      <c r="K181" t="str">
        <f>VLOOKUP(A181,[1]Klijenti!$A$1:$F$11,3,FALSE)</f>
        <v>Južni i Šumadijski region</v>
      </c>
    </row>
    <row r="182" spans="1:11">
      <c r="A182" s="5">
        <v>195</v>
      </c>
      <c r="B182" s="15">
        <v>45338</v>
      </c>
      <c r="C182" s="5">
        <v>466126</v>
      </c>
      <c r="D182" s="5" t="s">
        <v>98</v>
      </c>
      <c r="E182" s="5">
        <v>45</v>
      </c>
      <c r="F182" s="32" t="s">
        <v>314</v>
      </c>
      <c r="G182" t="str">
        <f>VLOOKUP(D182,[1]Proizvodi!$A$1:$F$15,2,FALSE)</f>
        <v>Nameštaj za dnevnu sobu</v>
      </c>
      <c r="H182" t="str">
        <f>VLOOKUP(D182,[1]Proizvodi!$A$1:$F$15,3,FALSE)</f>
        <v>Tabure</v>
      </c>
      <c r="I182" t="s">
        <v>433</v>
      </c>
      <c r="J182" t="str">
        <f>VLOOKUP(A182,[1]Klijenti!$A$1:$F$11,2,FALSE)</f>
        <v>Moderni Dom</v>
      </c>
      <c r="K182" t="str">
        <f>VLOOKUP(A182,[1]Klijenti!$A$1:$F$11,3,FALSE)</f>
        <v>Srbija</v>
      </c>
    </row>
    <row r="183" spans="1:11">
      <c r="A183" s="5">
        <v>153</v>
      </c>
      <c r="B183" s="15">
        <v>45343</v>
      </c>
      <c r="C183" s="5">
        <v>688897</v>
      </c>
      <c r="D183" s="5" t="s">
        <v>82</v>
      </c>
      <c r="E183" s="5">
        <v>16</v>
      </c>
      <c r="F183" s="32" t="s">
        <v>315</v>
      </c>
      <c r="G183" t="str">
        <f>VLOOKUP(D183,[1]Proizvodi!$A$1:$F$15,2,FALSE)</f>
        <v>Nameštaj za dnevnu sobu</v>
      </c>
      <c r="H183" t="str">
        <f>VLOOKUP(D183,[1]Proizvodi!$A$1:$F$15,3,FALSE)</f>
        <v>Sofa</v>
      </c>
      <c r="I183" t="s">
        <v>435</v>
      </c>
      <c r="J183" t="str">
        <f>VLOOKUP(A183,[1]Klijenti!$A$1:$F$11,2,FALSE)</f>
        <v>Udobni Kutak</v>
      </c>
      <c r="K183" t="str">
        <f>VLOOKUP(A183,[1]Klijenti!$A$1:$F$11,3,FALSE)</f>
        <v>Južni region</v>
      </c>
    </row>
    <row r="184" spans="1:11">
      <c r="A184" s="5">
        <v>127</v>
      </c>
      <c r="B184" s="15">
        <v>45366</v>
      </c>
      <c r="C184" s="5">
        <v>171444</v>
      </c>
      <c r="D184" s="5" t="s">
        <v>82</v>
      </c>
      <c r="E184" s="5">
        <v>37</v>
      </c>
      <c r="F184" s="32" t="s">
        <v>316</v>
      </c>
      <c r="G184" t="str">
        <f>VLOOKUP(D184,[1]Proizvodi!$A$1:$F$15,2,FALSE)</f>
        <v>Nameštaj za dnevnu sobu</v>
      </c>
      <c r="H184" t="str">
        <f>VLOOKUP(D184,[1]Proizvodi!$A$1:$F$15,3,FALSE)</f>
        <v>Sofa</v>
      </c>
      <c r="I184" t="s">
        <v>437</v>
      </c>
      <c r="J184" t="str">
        <f>VLOOKUP(A184,[1]Klijenti!$A$1:$F$11,2,FALSE)</f>
        <v>Luksuzni Dizajn</v>
      </c>
      <c r="K184" t="str">
        <f>VLOOKUP(A184,[1]Klijenti!$A$1:$F$11,3,FALSE)</f>
        <v>Vojvodina</v>
      </c>
    </row>
    <row r="185" spans="1:11">
      <c r="A185" s="5">
        <v>186</v>
      </c>
      <c r="B185" s="15">
        <v>45295</v>
      </c>
      <c r="C185" s="5">
        <v>171444</v>
      </c>
      <c r="D185" s="5" t="s">
        <v>86</v>
      </c>
      <c r="E185" s="5">
        <v>2</v>
      </c>
      <c r="F185" s="32" t="s">
        <v>317</v>
      </c>
      <c r="G185" t="str">
        <f>VLOOKUP(D185,[1]Proizvodi!$A$1:$F$15,2,FALSE)</f>
        <v>Nameštaj za spavaću sobu</v>
      </c>
      <c r="H185" t="str">
        <f>VLOOKUP(D185,[1]Proizvodi!$A$1:$F$15,3,FALSE)</f>
        <v>Noćni ormarić</v>
      </c>
      <c r="I185" t="s">
        <v>437</v>
      </c>
      <c r="J185" t="str">
        <f>VLOOKUP(A185,[1]Klijenti!$A$1:$F$11,2,FALSE)</f>
        <v>Kuća- Uređenje i Dizajn</v>
      </c>
      <c r="K185" t="str">
        <f>VLOOKUP(A185,[1]Klijenti!$A$1:$F$11,3,FALSE)</f>
        <v>Beogradski region</v>
      </c>
    </row>
    <row r="186" spans="1:11">
      <c r="A186" s="5">
        <v>179</v>
      </c>
      <c r="B186" s="15">
        <v>45303</v>
      </c>
      <c r="C186" s="5">
        <v>243994</v>
      </c>
      <c r="D186" s="5" t="s">
        <v>80</v>
      </c>
      <c r="E186" s="5">
        <v>31</v>
      </c>
      <c r="F186" s="32" t="s">
        <v>318</v>
      </c>
      <c r="G186" t="str">
        <f>VLOOKUP(D186,[1]Proizvodi!$A$1:$F$15,2,FALSE)</f>
        <v>Nameštaj za dnevnu sobu</v>
      </c>
      <c r="H186" t="str">
        <f>VLOOKUP(D186,[1]Proizvodi!$A$1:$F$15,3,FALSE)</f>
        <v>Ormarić za TV</v>
      </c>
      <c r="I186" t="s">
        <v>436</v>
      </c>
      <c r="J186" t="str">
        <f>VLOOKUP(A186,[1]Klijenti!$A$1:$F$11,2,FALSE)</f>
        <v>Elegantni Enterijeri</v>
      </c>
      <c r="K186" t="str">
        <f>VLOOKUP(A186,[1]Klijenti!$A$1:$F$11,3,FALSE)</f>
        <v>Južni i Šumadijski region</v>
      </c>
    </row>
    <row r="187" spans="1:11">
      <c r="A187" s="5">
        <v>151</v>
      </c>
      <c r="B187" s="15">
        <v>45380</v>
      </c>
      <c r="C187" s="5">
        <v>443480</v>
      </c>
      <c r="D187" s="5" t="s">
        <v>80</v>
      </c>
      <c r="E187" s="5">
        <v>14</v>
      </c>
      <c r="F187" s="32" t="s">
        <v>319</v>
      </c>
      <c r="G187" t="str">
        <f>VLOOKUP(D187,[1]Proizvodi!$A$1:$F$15,2,FALSE)</f>
        <v>Nameštaj za dnevnu sobu</v>
      </c>
      <c r="H187" t="str">
        <f>VLOOKUP(D187,[1]Proizvodi!$A$1:$F$15,3,FALSE)</f>
        <v>Ormarić za TV</v>
      </c>
      <c r="I187" t="s">
        <v>434</v>
      </c>
      <c r="J187" t="str">
        <f>VLOOKUP(A187,[1]Klijenti!$A$1:$F$11,2,FALSE)</f>
        <v>Estetski Kutak</v>
      </c>
      <c r="K187" t="str">
        <f>VLOOKUP(A187,[1]Klijenti!$A$1:$F$11,3,FALSE)</f>
        <v>Srbija</v>
      </c>
    </row>
    <row r="188" spans="1:11">
      <c r="A188" s="5">
        <v>127</v>
      </c>
      <c r="B188" s="15">
        <v>45359</v>
      </c>
      <c r="C188" s="5">
        <v>171444</v>
      </c>
      <c r="D188" s="5" t="s">
        <v>91</v>
      </c>
      <c r="E188" s="5">
        <v>5</v>
      </c>
      <c r="F188" s="32" t="s">
        <v>320</v>
      </c>
      <c r="G188" t="str">
        <f>VLOOKUP(D188,[1]Proizvodi!$A$1:$F$15,2,FALSE)</f>
        <v>Nameštaj za radnu sobu</v>
      </c>
      <c r="H188" t="str">
        <f>VLOOKUP(D188,[1]Proizvodi!$A$1:$F$15,3,FALSE)</f>
        <v>Radni sto</v>
      </c>
      <c r="I188" t="s">
        <v>437</v>
      </c>
      <c r="J188" t="str">
        <f>VLOOKUP(A188,[1]Klijenti!$A$1:$F$11,2,FALSE)</f>
        <v>Luksuzni Dizajn</v>
      </c>
      <c r="K188" t="str">
        <f>VLOOKUP(A188,[1]Klijenti!$A$1:$F$11,3,FALSE)</f>
        <v>Vojvodina</v>
      </c>
    </row>
    <row r="189" spans="1:11">
      <c r="A189" s="5">
        <v>195</v>
      </c>
      <c r="B189" s="15">
        <v>45372</v>
      </c>
      <c r="C189" s="5">
        <v>466126</v>
      </c>
      <c r="D189" s="5" t="s">
        <v>98</v>
      </c>
      <c r="E189" s="5">
        <v>9</v>
      </c>
      <c r="F189" s="32" t="s">
        <v>321</v>
      </c>
      <c r="G189" t="str">
        <f>VLOOKUP(D189,[1]Proizvodi!$A$1:$F$15,2,FALSE)</f>
        <v>Nameštaj za dnevnu sobu</v>
      </c>
      <c r="H189" t="str">
        <f>VLOOKUP(D189,[1]Proizvodi!$A$1:$F$15,3,FALSE)</f>
        <v>Tabure</v>
      </c>
      <c r="I189" t="s">
        <v>433</v>
      </c>
      <c r="J189" t="str">
        <f>VLOOKUP(A189,[1]Klijenti!$A$1:$F$11,2,FALSE)</f>
        <v>Moderni Dom</v>
      </c>
      <c r="K189" t="str">
        <f>VLOOKUP(A189,[1]Klijenti!$A$1:$F$11,3,FALSE)</f>
        <v>Srbija</v>
      </c>
    </row>
    <row r="190" spans="1:11">
      <c r="A190" s="5">
        <v>186</v>
      </c>
      <c r="B190" s="15">
        <v>45329</v>
      </c>
      <c r="C190" s="5">
        <v>243994</v>
      </c>
      <c r="D190" s="5" t="s">
        <v>86</v>
      </c>
      <c r="E190" s="5">
        <v>32</v>
      </c>
      <c r="F190" s="32" t="s">
        <v>322</v>
      </c>
      <c r="G190" t="str">
        <f>VLOOKUP(D190,[1]Proizvodi!$A$1:$F$15,2,FALSE)</f>
        <v>Nameštaj za spavaću sobu</v>
      </c>
      <c r="H190" t="str">
        <f>VLOOKUP(D190,[1]Proizvodi!$A$1:$F$15,3,FALSE)</f>
        <v>Noćni ormarić</v>
      </c>
      <c r="I190" t="s">
        <v>436</v>
      </c>
      <c r="J190" t="str">
        <f>VLOOKUP(A190,[1]Klijenti!$A$1:$F$11,2,FALSE)</f>
        <v>Kuća- Uređenje i Dizajn</v>
      </c>
      <c r="K190" t="str">
        <f>VLOOKUP(A190,[1]Klijenti!$A$1:$F$11,3,FALSE)</f>
        <v>Beogradski region</v>
      </c>
    </row>
    <row r="191" spans="1:11">
      <c r="A191" s="5">
        <v>157</v>
      </c>
      <c r="B191" s="15">
        <v>45304</v>
      </c>
      <c r="C191" s="5">
        <v>688897</v>
      </c>
      <c r="D191" s="5" t="s">
        <v>84</v>
      </c>
      <c r="E191" s="5">
        <v>40</v>
      </c>
      <c r="F191" s="32" t="s">
        <v>323</v>
      </c>
      <c r="G191" t="str">
        <f>VLOOKUP(D191,[1]Proizvodi!$A$1:$F$15,2,FALSE)</f>
        <v>Trpezarija</v>
      </c>
      <c r="H191" t="str">
        <f>VLOOKUP(D191,[1]Proizvodi!$A$1:$F$15,3,FALSE)</f>
        <v>Stolica za ručavanje</v>
      </c>
      <c r="I191" t="s">
        <v>435</v>
      </c>
      <c r="J191" t="str">
        <f>VLOOKUP(A191,[1]Klijenti!$A$1:$F$11,2,FALSE)</f>
        <v>Stilski Stan</v>
      </c>
      <c r="K191" t="str">
        <f>VLOOKUP(A191,[1]Klijenti!$A$1:$F$11,3,FALSE)</f>
        <v>Vojvodina i Beograd</v>
      </c>
    </row>
    <row r="192" spans="1:11">
      <c r="A192" s="5">
        <v>163</v>
      </c>
      <c r="B192" s="15">
        <v>45302</v>
      </c>
      <c r="C192" s="5">
        <v>443480</v>
      </c>
      <c r="D192" s="5" t="s">
        <v>96</v>
      </c>
      <c r="E192" s="5">
        <v>37</v>
      </c>
      <c r="F192" s="32" t="s">
        <v>324</v>
      </c>
      <c r="G192" t="str">
        <f>VLOOKUP(D192,[1]Proizvodi!$A$1:$F$15,2,FALSE)</f>
        <v>Nameštaj za dnevnu sobu</v>
      </c>
      <c r="H192" t="str">
        <f>VLOOKUP(D192,[1]Proizvodi!$A$1:$F$15,3,FALSE)</f>
        <v>Ogledalo za zid</v>
      </c>
      <c r="I192" t="s">
        <v>434</v>
      </c>
      <c r="J192" t="str">
        <f>VLOOKUP(A192,[1]Klijenti!$A$1:$F$11,2,FALSE)</f>
        <v>Sofistikacija Doma</v>
      </c>
      <c r="K192" t="str">
        <f>VLOOKUP(A192,[1]Klijenti!$A$1:$F$11,3,FALSE)</f>
        <v>Šumadija</v>
      </c>
    </row>
    <row r="193" spans="1:11">
      <c r="A193" s="5">
        <v>153</v>
      </c>
      <c r="B193" s="15">
        <v>45305</v>
      </c>
      <c r="C193" s="5">
        <v>688897</v>
      </c>
      <c r="D193" s="5" t="s">
        <v>91</v>
      </c>
      <c r="E193" s="5">
        <v>45</v>
      </c>
      <c r="F193" s="32" t="s">
        <v>325</v>
      </c>
      <c r="G193" t="str">
        <f>VLOOKUP(D193,[1]Proizvodi!$A$1:$F$15,2,FALSE)</f>
        <v>Nameštaj za radnu sobu</v>
      </c>
      <c r="H193" t="str">
        <f>VLOOKUP(D193,[1]Proizvodi!$A$1:$F$15,3,FALSE)</f>
        <v>Radni sto</v>
      </c>
      <c r="I193" t="s">
        <v>435</v>
      </c>
      <c r="J193" t="str">
        <f>VLOOKUP(A193,[1]Klijenti!$A$1:$F$11,2,FALSE)</f>
        <v>Udobni Kutak</v>
      </c>
      <c r="K193" t="str">
        <f>VLOOKUP(A193,[1]Klijenti!$A$1:$F$11,3,FALSE)</f>
        <v>Južni region</v>
      </c>
    </row>
    <row r="194" spans="1:11">
      <c r="A194" s="5">
        <v>153</v>
      </c>
      <c r="B194" s="15">
        <v>45323</v>
      </c>
      <c r="C194" s="5">
        <v>688897</v>
      </c>
      <c r="D194" s="5" t="s">
        <v>78</v>
      </c>
      <c r="E194" s="5">
        <v>26</v>
      </c>
      <c r="F194" s="32" t="s">
        <v>326</v>
      </c>
      <c r="G194" t="str">
        <f>VLOOKUP(D194,[1]Proizvodi!$A$1:$F$15,2,FALSE)</f>
        <v>Nameštaj za dnevnu sobu</v>
      </c>
      <c r="H194" t="str">
        <f>VLOOKUP(D194,[1]Proizvodi!$A$1:$F$15,3,FALSE)</f>
        <v>Rasklopiva fotelja</v>
      </c>
      <c r="I194" t="s">
        <v>435</v>
      </c>
      <c r="J194" t="str">
        <f>VLOOKUP(A194,[1]Klijenti!$A$1:$F$11,2,FALSE)</f>
        <v>Udobni Kutak</v>
      </c>
      <c r="K194" t="str">
        <f>VLOOKUP(A194,[1]Klijenti!$A$1:$F$11,3,FALSE)</f>
        <v>Južni region</v>
      </c>
    </row>
    <row r="195" spans="1:11">
      <c r="A195" s="5">
        <v>127</v>
      </c>
      <c r="B195" s="15">
        <v>45356</v>
      </c>
      <c r="C195" s="5">
        <v>171444</v>
      </c>
      <c r="D195" s="5" t="s">
        <v>72</v>
      </c>
      <c r="E195" s="5">
        <v>18</v>
      </c>
      <c r="F195" s="32" t="s">
        <v>327</v>
      </c>
      <c r="G195" t="str">
        <f>VLOOKUP(D195,[1]Proizvodi!$A$1:$F$15,2,FALSE)</f>
        <v>Nameštaj za dnevnu sobu</v>
      </c>
      <c r="H195" t="str">
        <f>VLOOKUP(D195,[1]Proizvodi!$A$1:$F$15,3,FALSE)</f>
        <v>Klub sto</v>
      </c>
      <c r="I195" t="s">
        <v>437</v>
      </c>
      <c r="J195" t="str">
        <f>VLOOKUP(A195,[1]Klijenti!$A$1:$F$11,2,FALSE)</f>
        <v>Luksuzni Dizajn</v>
      </c>
      <c r="K195" t="str">
        <f>VLOOKUP(A195,[1]Klijenti!$A$1:$F$11,3,FALSE)</f>
        <v>Vojvodina</v>
      </c>
    </row>
    <row r="196" spans="1:11">
      <c r="A196" s="5">
        <v>151</v>
      </c>
      <c r="B196" s="15">
        <v>45373</v>
      </c>
      <c r="C196" s="5">
        <v>443480</v>
      </c>
      <c r="D196" s="5" t="s">
        <v>89</v>
      </c>
      <c r="E196" s="5">
        <v>40</v>
      </c>
      <c r="F196" s="32" t="s">
        <v>328</v>
      </c>
      <c r="G196" t="str">
        <f>VLOOKUP(D196,[1]Proizvodi!$A$1:$F$15,2,FALSE)</f>
        <v>Nameštaj za dnevnu sobu</v>
      </c>
      <c r="H196" t="str">
        <f>VLOOKUP(D196,[1]Proizvodi!$A$1:$F$15,3,FALSE)</f>
        <v>Komoda</v>
      </c>
      <c r="I196" t="s">
        <v>434</v>
      </c>
      <c r="J196" t="str">
        <f>VLOOKUP(A196,[1]Klijenti!$A$1:$F$11,2,FALSE)</f>
        <v>Estetski Kutak</v>
      </c>
      <c r="K196" t="str">
        <f>VLOOKUP(A196,[1]Klijenti!$A$1:$F$11,3,FALSE)</f>
        <v>Srbija</v>
      </c>
    </row>
    <row r="197" spans="1:11">
      <c r="A197" s="5">
        <v>163</v>
      </c>
      <c r="B197" s="15">
        <v>45308</v>
      </c>
      <c r="C197" s="5">
        <v>443480</v>
      </c>
      <c r="D197" s="5" t="s">
        <v>86</v>
      </c>
      <c r="E197" s="5">
        <v>18</v>
      </c>
      <c r="F197" s="32" t="s">
        <v>329</v>
      </c>
      <c r="G197" t="str">
        <f>VLOOKUP(D197,[1]Proizvodi!$A$1:$F$15,2,FALSE)</f>
        <v>Nameštaj za spavaću sobu</v>
      </c>
      <c r="H197" t="str">
        <f>VLOOKUP(D197,[1]Proizvodi!$A$1:$F$15,3,FALSE)</f>
        <v>Noćni ormarić</v>
      </c>
      <c r="I197" t="s">
        <v>434</v>
      </c>
      <c r="J197" t="str">
        <f>VLOOKUP(A197,[1]Klijenti!$A$1:$F$11,2,FALSE)</f>
        <v>Sofistikacija Doma</v>
      </c>
      <c r="K197" t="str">
        <f>VLOOKUP(A197,[1]Klijenti!$A$1:$F$11,3,FALSE)</f>
        <v>Šumadija</v>
      </c>
    </row>
    <row r="198" spans="1:11">
      <c r="A198" s="5">
        <v>195</v>
      </c>
      <c r="B198" s="15">
        <v>45375</v>
      </c>
      <c r="C198" s="5">
        <v>466126</v>
      </c>
      <c r="D198" s="5" t="s">
        <v>84</v>
      </c>
      <c r="E198" s="5">
        <v>19</v>
      </c>
      <c r="F198" s="32" t="s">
        <v>330</v>
      </c>
      <c r="G198" t="str">
        <f>VLOOKUP(D198,[1]Proizvodi!$A$1:$F$15,2,FALSE)</f>
        <v>Trpezarija</v>
      </c>
      <c r="H198" t="str">
        <f>VLOOKUP(D198,[1]Proizvodi!$A$1:$F$15,3,FALSE)</f>
        <v>Stolica za ručavanje</v>
      </c>
      <c r="I198" t="s">
        <v>433</v>
      </c>
      <c r="J198" t="str">
        <f>VLOOKUP(A198,[1]Klijenti!$A$1:$F$11,2,FALSE)</f>
        <v>Moderni Dom</v>
      </c>
      <c r="K198" t="str">
        <f>VLOOKUP(A198,[1]Klijenti!$A$1:$F$11,3,FALSE)</f>
        <v>Srbija</v>
      </c>
    </row>
    <row r="199" spans="1:11">
      <c r="A199" s="5">
        <v>186</v>
      </c>
      <c r="B199" s="15">
        <v>45369</v>
      </c>
      <c r="C199" s="5">
        <v>243994</v>
      </c>
      <c r="D199" s="5" t="s">
        <v>82</v>
      </c>
      <c r="E199" s="5">
        <v>3</v>
      </c>
      <c r="F199" s="32" t="s">
        <v>331</v>
      </c>
      <c r="G199" t="str">
        <f>VLOOKUP(D199,[1]Proizvodi!$A$1:$F$15,2,FALSE)</f>
        <v>Nameštaj za dnevnu sobu</v>
      </c>
      <c r="H199" t="str">
        <f>VLOOKUP(D199,[1]Proizvodi!$A$1:$F$15,3,FALSE)</f>
        <v>Sofa</v>
      </c>
      <c r="I199" t="s">
        <v>436</v>
      </c>
      <c r="J199" t="str">
        <f>VLOOKUP(A199,[1]Klijenti!$A$1:$F$11,2,FALSE)</f>
        <v>Kuća- Uređenje i Dizajn</v>
      </c>
      <c r="K199" t="str">
        <f>VLOOKUP(A199,[1]Klijenti!$A$1:$F$11,3,FALSE)</f>
        <v>Beogradski region</v>
      </c>
    </row>
    <row r="200" spans="1:11">
      <c r="A200" s="5">
        <v>186</v>
      </c>
      <c r="B200" s="15">
        <v>45356</v>
      </c>
      <c r="C200" s="5">
        <v>243994</v>
      </c>
      <c r="D200" s="5" t="s">
        <v>91</v>
      </c>
      <c r="E200" s="5">
        <v>7</v>
      </c>
      <c r="F200" s="32" t="s">
        <v>332</v>
      </c>
      <c r="G200" t="str">
        <f>VLOOKUP(D200,[1]Proizvodi!$A$1:$F$15,2,FALSE)</f>
        <v>Nameštaj za radnu sobu</v>
      </c>
      <c r="H200" t="str">
        <f>VLOOKUP(D200,[1]Proizvodi!$A$1:$F$15,3,FALSE)</f>
        <v>Radni sto</v>
      </c>
      <c r="I200" t="s">
        <v>436</v>
      </c>
      <c r="J200" t="str">
        <f>VLOOKUP(A200,[1]Klijenti!$A$1:$F$11,2,FALSE)</f>
        <v>Kuća- Uređenje i Dizajn</v>
      </c>
      <c r="K200" t="str">
        <f>VLOOKUP(A200,[1]Klijenti!$A$1:$F$11,3,FALSE)</f>
        <v>Beogradski region</v>
      </c>
    </row>
    <row r="201" spans="1:11">
      <c r="A201" s="5">
        <v>163</v>
      </c>
      <c r="B201" s="15">
        <v>45380</v>
      </c>
      <c r="C201" s="5">
        <v>443480</v>
      </c>
      <c r="D201" s="5" t="s">
        <v>72</v>
      </c>
      <c r="E201" s="5">
        <v>17</v>
      </c>
      <c r="F201" s="32" t="s">
        <v>333</v>
      </c>
      <c r="G201" t="str">
        <f>VLOOKUP(D201,[1]Proizvodi!$A$1:$F$15,2,FALSE)</f>
        <v>Nameštaj za dnevnu sobu</v>
      </c>
      <c r="H201" t="str">
        <f>VLOOKUP(D201,[1]Proizvodi!$A$1:$F$15,3,FALSE)</f>
        <v>Klub sto</v>
      </c>
      <c r="I201" t="s">
        <v>434</v>
      </c>
      <c r="J201" t="str">
        <f>VLOOKUP(A201,[1]Klijenti!$A$1:$F$11,2,FALSE)</f>
        <v>Sofistikacija Doma</v>
      </c>
      <c r="K201" t="str">
        <f>VLOOKUP(A201,[1]Klijenti!$A$1:$F$11,3,FALSE)</f>
        <v>Šumadija</v>
      </c>
    </row>
    <row r="202" spans="1:11">
      <c r="A202" s="5">
        <v>195</v>
      </c>
      <c r="B202" s="15">
        <v>45343</v>
      </c>
      <c r="C202" s="5">
        <v>466126</v>
      </c>
      <c r="D202" s="5" t="s">
        <v>75</v>
      </c>
      <c r="E202" s="5">
        <v>45</v>
      </c>
      <c r="F202" s="32" t="s">
        <v>334</v>
      </c>
      <c r="G202" t="str">
        <f>VLOOKUP(D202,[1]Proizvodi!$A$1:$F$15,2,FALSE)</f>
        <v>Trpezarija</v>
      </c>
      <c r="H202" t="str">
        <f>VLOOKUP(D202,[1]Proizvodi!$A$1:$F$15,3,FALSE)</f>
        <v>Trpezarijski sto</v>
      </c>
      <c r="I202" t="s">
        <v>433</v>
      </c>
      <c r="J202" t="str">
        <f>VLOOKUP(A202,[1]Klijenti!$A$1:$F$11,2,FALSE)</f>
        <v>Moderni Dom</v>
      </c>
      <c r="K202" t="str">
        <f>VLOOKUP(A202,[1]Klijenti!$A$1:$F$11,3,FALSE)</f>
        <v>Srbija</v>
      </c>
    </row>
    <row r="203" spans="1:11">
      <c r="A203" s="5">
        <v>127</v>
      </c>
      <c r="B203" s="15">
        <v>45334</v>
      </c>
      <c r="C203" s="5">
        <v>171444</v>
      </c>
      <c r="D203" s="5" t="s">
        <v>100</v>
      </c>
      <c r="E203" s="5">
        <v>7</v>
      </c>
      <c r="F203" s="32" t="s">
        <v>335</v>
      </c>
      <c r="G203" t="str">
        <f>VLOOKUP(D203,[1]Proizvodi!$A$1:$F$15,2,FALSE)</f>
        <v>Kuhinja</v>
      </c>
      <c r="H203" t="str">
        <f>VLOOKUP(D203,[1]Proizvodi!$A$1:$F$15,3,FALSE)</f>
        <v>Viseća polica</v>
      </c>
      <c r="I203" t="s">
        <v>437</v>
      </c>
      <c r="J203" t="str">
        <f>VLOOKUP(A203,[1]Klijenti!$A$1:$F$11,2,FALSE)</f>
        <v>Luksuzni Dizajn</v>
      </c>
      <c r="K203" t="str">
        <f>VLOOKUP(A203,[1]Klijenti!$A$1:$F$11,3,FALSE)</f>
        <v>Vojvodina</v>
      </c>
    </row>
    <row r="204" spans="1:11">
      <c r="A204" s="5">
        <v>157</v>
      </c>
      <c r="B204" s="15">
        <v>45354</v>
      </c>
      <c r="C204" s="5">
        <v>688897</v>
      </c>
      <c r="D204" s="5" t="s">
        <v>98</v>
      </c>
      <c r="E204" s="5">
        <v>37</v>
      </c>
      <c r="F204" s="32" t="s">
        <v>336</v>
      </c>
      <c r="G204" t="str">
        <f>VLOOKUP(D204,[1]Proizvodi!$A$1:$F$15,2,FALSE)</f>
        <v>Nameštaj za dnevnu sobu</v>
      </c>
      <c r="H204" t="str">
        <f>VLOOKUP(D204,[1]Proizvodi!$A$1:$F$15,3,FALSE)</f>
        <v>Tabure</v>
      </c>
      <c r="I204" t="s">
        <v>435</v>
      </c>
      <c r="J204" t="str">
        <f>VLOOKUP(A204,[1]Klijenti!$A$1:$F$11,2,FALSE)</f>
        <v>Stilski Stan</v>
      </c>
      <c r="K204" t="str">
        <f>VLOOKUP(A204,[1]Klijenti!$A$1:$F$11,3,FALSE)</f>
        <v>Vojvodina i Beograd</v>
      </c>
    </row>
    <row r="205" spans="1:11">
      <c r="A205" s="5">
        <v>179</v>
      </c>
      <c r="B205" s="15">
        <v>45320</v>
      </c>
      <c r="C205" s="5">
        <v>243994</v>
      </c>
      <c r="D205" s="5" t="s">
        <v>89</v>
      </c>
      <c r="E205" s="5">
        <v>15</v>
      </c>
      <c r="F205" s="32" t="s">
        <v>337</v>
      </c>
      <c r="G205" t="str">
        <f>VLOOKUP(D205,[1]Proizvodi!$A$1:$F$15,2,FALSE)</f>
        <v>Nameštaj za dnevnu sobu</v>
      </c>
      <c r="H205" t="str">
        <f>VLOOKUP(D205,[1]Proizvodi!$A$1:$F$15,3,FALSE)</f>
        <v>Komoda</v>
      </c>
      <c r="I205" t="s">
        <v>436</v>
      </c>
      <c r="J205" t="str">
        <f>VLOOKUP(A205,[1]Klijenti!$A$1:$F$11,2,FALSE)</f>
        <v>Elegantni Enterijeri</v>
      </c>
      <c r="K205" t="str">
        <f>VLOOKUP(A205,[1]Klijenti!$A$1:$F$11,3,FALSE)</f>
        <v>Južni i Šumadijski region</v>
      </c>
    </row>
    <row r="206" spans="1:11">
      <c r="A206" s="5">
        <v>151</v>
      </c>
      <c r="B206" s="15">
        <v>45375</v>
      </c>
      <c r="C206" s="5">
        <v>443480</v>
      </c>
      <c r="D206" s="5" t="s">
        <v>89</v>
      </c>
      <c r="E206" s="5">
        <v>6</v>
      </c>
      <c r="F206" s="32" t="s">
        <v>338</v>
      </c>
      <c r="G206" t="str">
        <f>VLOOKUP(D206,[1]Proizvodi!$A$1:$F$15,2,FALSE)</f>
        <v>Nameštaj za dnevnu sobu</v>
      </c>
      <c r="H206" t="str">
        <f>VLOOKUP(D206,[1]Proizvodi!$A$1:$F$15,3,FALSE)</f>
        <v>Komoda</v>
      </c>
      <c r="I206" t="s">
        <v>434</v>
      </c>
      <c r="J206" t="str">
        <f>VLOOKUP(A206,[1]Klijenti!$A$1:$F$11,2,FALSE)</f>
        <v>Estetski Kutak</v>
      </c>
      <c r="K206" t="str">
        <f>VLOOKUP(A206,[1]Klijenti!$A$1:$F$11,3,FALSE)</f>
        <v>Srbija</v>
      </c>
    </row>
    <row r="207" spans="1:11">
      <c r="A207" s="5">
        <v>179</v>
      </c>
      <c r="B207" s="15">
        <v>45312</v>
      </c>
      <c r="C207" s="5">
        <v>243994</v>
      </c>
      <c r="D207" s="5" t="s">
        <v>98</v>
      </c>
      <c r="E207" s="5">
        <v>19</v>
      </c>
      <c r="F207" s="32" t="s">
        <v>339</v>
      </c>
      <c r="G207" t="str">
        <f>VLOOKUP(D207,[1]Proizvodi!$A$1:$F$15,2,FALSE)</f>
        <v>Nameštaj za dnevnu sobu</v>
      </c>
      <c r="H207" t="str">
        <f>VLOOKUP(D207,[1]Proizvodi!$A$1:$F$15,3,FALSE)</f>
        <v>Tabure</v>
      </c>
      <c r="I207" t="s">
        <v>436</v>
      </c>
      <c r="J207" t="str">
        <f>VLOOKUP(A207,[1]Klijenti!$A$1:$F$11,2,FALSE)</f>
        <v>Elegantni Enterijeri</v>
      </c>
      <c r="K207" t="str">
        <f>VLOOKUP(A207,[1]Klijenti!$A$1:$F$11,3,FALSE)</f>
        <v>Južni i Šumadijski region</v>
      </c>
    </row>
    <row r="208" spans="1:11">
      <c r="A208" s="5">
        <v>153</v>
      </c>
      <c r="B208" s="15">
        <v>45370</v>
      </c>
      <c r="C208" s="5">
        <v>688897</v>
      </c>
      <c r="D208" s="5" t="s">
        <v>86</v>
      </c>
      <c r="E208" s="5">
        <v>14</v>
      </c>
      <c r="F208" s="32" t="s">
        <v>340</v>
      </c>
      <c r="G208" t="str">
        <f>VLOOKUP(D208,[1]Proizvodi!$A$1:$F$15,2,FALSE)</f>
        <v>Nameštaj za spavaću sobu</v>
      </c>
      <c r="H208" t="str">
        <f>VLOOKUP(D208,[1]Proizvodi!$A$1:$F$15,3,FALSE)</f>
        <v>Noćni ormarić</v>
      </c>
      <c r="I208" t="s">
        <v>435</v>
      </c>
      <c r="J208" t="str">
        <f>VLOOKUP(A208,[1]Klijenti!$A$1:$F$11,2,FALSE)</f>
        <v>Udobni Kutak</v>
      </c>
      <c r="K208" t="str">
        <f>VLOOKUP(A208,[1]Klijenti!$A$1:$F$11,3,FALSE)</f>
        <v>Južni region</v>
      </c>
    </row>
    <row r="209" spans="1:11">
      <c r="A209" s="5">
        <v>195</v>
      </c>
      <c r="B209" s="15">
        <v>45341</v>
      </c>
      <c r="C209" s="5">
        <v>466126</v>
      </c>
      <c r="D209" s="5" t="s">
        <v>94</v>
      </c>
      <c r="E209" s="5">
        <v>5</v>
      </c>
      <c r="F209" s="32" t="s">
        <v>341</v>
      </c>
      <c r="G209" t="str">
        <f>VLOOKUP(D209,[1]Proizvodi!$A$1:$F$15,2,FALSE)</f>
        <v>Nameštaj za dnevnu sobu</v>
      </c>
      <c r="H209" t="str">
        <f>VLOOKUP(D209,[1]Proizvodi!$A$1:$F$15,3,FALSE)</f>
        <v>Polica za knjige</v>
      </c>
      <c r="I209" t="s">
        <v>433</v>
      </c>
      <c r="J209" t="str">
        <f>VLOOKUP(A209,[1]Klijenti!$A$1:$F$11,2,FALSE)</f>
        <v>Moderni Dom</v>
      </c>
      <c r="K209" t="str">
        <f>VLOOKUP(A209,[1]Klijenti!$A$1:$F$11,3,FALSE)</f>
        <v>Srbija</v>
      </c>
    </row>
    <row r="210" spans="1:11">
      <c r="A210" s="5">
        <v>157</v>
      </c>
      <c r="B210" s="15">
        <v>45353</v>
      </c>
      <c r="C210" s="5">
        <v>688897</v>
      </c>
      <c r="D210" s="5" t="s">
        <v>98</v>
      </c>
      <c r="E210" s="5">
        <v>21</v>
      </c>
      <c r="F210" s="32" t="s">
        <v>342</v>
      </c>
      <c r="G210" t="str">
        <f>VLOOKUP(D210,[1]Proizvodi!$A$1:$F$15,2,FALSE)</f>
        <v>Nameštaj za dnevnu sobu</v>
      </c>
      <c r="H210" t="str">
        <f>VLOOKUP(D210,[1]Proizvodi!$A$1:$F$15,3,FALSE)</f>
        <v>Tabure</v>
      </c>
      <c r="I210" t="s">
        <v>435</v>
      </c>
      <c r="J210" t="str">
        <f>VLOOKUP(A210,[1]Klijenti!$A$1:$F$11,2,FALSE)</f>
        <v>Stilski Stan</v>
      </c>
      <c r="K210" t="str">
        <f>VLOOKUP(A210,[1]Klijenti!$A$1:$F$11,3,FALSE)</f>
        <v>Vojvodina i Beograd</v>
      </c>
    </row>
    <row r="211" spans="1:11">
      <c r="A211" s="5">
        <v>108</v>
      </c>
      <c r="B211" s="15">
        <v>45362</v>
      </c>
      <c r="C211" s="5">
        <v>466126</v>
      </c>
      <c r="D211" s="5" t="s">
        <v>78</v>
      </c>
      <c r="E211" s="5">
        <v>23</v>
      </c>
      <c r="F211" s="32" t="s">
        <v>343</v>
      </c>
      <c r="G211" t="str">
        <f>VLOOKUP(D211,[1]Proizvodi!$A$1:$F$15,2,FALSE)</f>
        <v>Nameštaj za dnevnu sobu</v>
      </c>
      <c r="H211" t="str">
        <f>VLOOKUP(D211,[1]Proizvodi!$A$1:$F$15,3,FALSE)</f>
        <v>Rasklopiva fotelja</v>
      </c>
      <c r="I211" t="s">
        <v>433</v>
      </c>
      <c r="J211" t="str">
        <f>VLOOKUP(A211,[1]Klijenti!$A$1:$F$11,2,FALSE)</f>
        <v>Dom &amp; Dekor</v>
      </c>
      <c r="K211" t="str">
        <f>VLOOKUP(A211,[1]Klijenti!$A$1:$F$11,3,FALSE)</f>
        <v>Beogradski region</v>
      </c>
    </row>
    <row r="212" spans="1:11">
      <c r="A212" s="5">
        <v>186</v>
      </c>
      <c r="B212" s="15">
        <v>45367</v>
      </c>
      <c r="C212" s="5">
        <v>243994</v>
      </c>
      <c r="D212" s="5" t="s">
        <v>82</v>
      </c>
      <c r="E212" s="5">
        <v>30</v>
      </c>
      <c r="F212" s="32" t="s">
        <v>344</v>
      </c>
      <c r="G212" t="str">
        <f>VLOOKUP(D212,[1]Proizvodi!$A$1:$F$15,2,FALSE)</f>
        <v>Nameštaj za dnevnu sobu</v>
      </c>
      <c r="H212" t="str">
        <f>VLOOKUP(D212,[1]Proizvodi!$A$1:$F$15,3,FALSE)</f>
        <v>Sofa</v>
      </c>
      <c r="I212" t="s">
        <v>436</v>
      </c>
      <c r="J212" t="str">
        <f>VLOOKUP(A212,[1]Klijenti!$A$1:$F$11,2,FALSE)</f>
        <v>Kuća- Uređenje i Dizajn</v>
      </c>
      <c r="K212" t="str">
        <f>VLOOKUP(A212,[1]Klijenti!$A$1:$F$11,3,FALSE)</f>
        <v>Beogradski region</v>
      </c>
    </row>
    <row r="213" spans="1:11">
      <c r="A213" s="5">
        <v>108</v>
      </c>
      <c r="B213" s="15">
        <v>45337</v>
      </c>
      <c r="C213" s="5">
        <v>466126</v>
      </c>
      <c r="D213" s="5" t="s">
        <v>100</v>
      </c>
      <c r="E213" s="5">
        <v>35</v>
      </c>
      <c r="F213" s="32" t="s">
        <v>345</v>
      </c>
      <c r="G213" t="str">
        <f>VLOOKUP(D213,[1]Proizvodi!$A$1:$F$15,2,FALSE)</f>
        <v>Kuhinja</v>
      </c>
      <c r="H213" t="str">
        <f>VLOOKUP(D213,[1]Proizvodi!$A$1:$F$15,3,FALSE)</f>
        <v>Viseća polica</v>
      </c>
      <c r="I213" t="s">
        <v>433</v>
      </c>
      <c r="J213" t="str">
        <f>VLOOKUP(A213,[1]Klijenti!$A$1:$F$11,2,FALSE)</f>
        <v>Dom &amp; Dekor</v>
      </c>
      <c r="K213" t="str">
        <f>VLOOKUP(A213,[1]Klijenti!$A$1:$F$11,3,FALSE)</f>
        <v>Beogradski region</v>
      </c>
    </row>
    <row r="214" spans="1:11">
      <c r="A214" s="5">
        <v>153</v>
      </c>
      <c r="B214" s="15">
        <v>45317</v>
      </c>
      <c r="C214" s="5">
        <v>688897</v>
      </c>
      <c r="D214" s="5" t="s">
        <v>100</v>
      </c>
      <c r="E214" s="5">
        <v>28</v>
      </c>
      <c r="F214" s="32" t="s">
        <v>346</v>
      </c>
      <c r="G214" t="str">
        <f>VLOOKUP(D214,[1]Proizvodi!$A$1:$F$15,2,FALSE)</f>
        <v>Kuhinja</v>
      </c>
      <c r="H214" t="str">
        <f>VLOOKUP(D214,[1]Proizvodi!$A$1:$F$15,3,FALSE)</f>
        <v>Viseća polica</v>
      </c>
      <c r="I214" t="s">
        <v>435</v>
      </c>
      <c r="J214" t="str">
        <f>VLOOKUP(A214,[1]Klijenti!$A$1:$F$11,2,FALSE)</f>
        <v>Udobni Kutak</v>
      </c>
      <c r="K214" t="str">
        <f>VLOOKUP(A214,[1]Klijenti!$A$1:$F$11,3,FALSE)</f>
        <v>Južni region</v>
      </c>
    </row>
    <row r="215" spans="1:11">
      <c r="A215" s="5">
        <v>151</v>
      </c>
      <c r="B215" s="15">
        <v>45373</v>
      </c>
      <c r="C215" s="5">
        <v>443480</v>
      </c>
      <c r="D215" s="5" t="s">
        <v>75</v>
      </c>
      <c r="E215" s="5">
        <v>31</v>
      </c>
      <c r="F215" s="32" t="s">
        <v>347</v>
      </c>
      <c r="G215" t="str">
        <f>VLOOKUP(D215,[1]Proizvodi!$A$1:$F$15,2,FALSE)</f>
        <v>Trpezarija</v>
      </c>
      <c r="H215" t="str">
        <f>VLOOKUP(D215,[1]Proizvodi!$A$1:$F$15,3,FALSE)</f>
        <v>Trpezarijski sto</v>
      </c>
      <c r="I215" t="s">
        <v>434</v>
      </c>
      <c r="J215" t="str">
        <f>VLOOKUP(A215,[1]Klijenti!$A$1:$F$11,2,FALSE)</f>
        <v>Estetski Kutak</v>
      </c>
      <c r="K215" t="str">
        <f>VLOOKUP(A215,[1]Klijenti!$A$1:$F$11,3,FALSE)</f>
        <v>Srbija</v>
      </c>
    </row>
    <row r="216" spans="1:11">
      <c r="A216" s="5">
        <v>108</v>
      </c>
      <c r="B216" s="15">
        <v>45369</v>
      </c>
      <c r="C216" s="5">
        <v>466126</v>
      </c>
      <c r="D216" s="5" t="s">
        <v>72</v>
      </c>
      <c r="E216" s="5">
        <v>14</v>
      </c>
      <c r="F216" s="32" t="s">
        <v>348</v>
      </c>
      <c r="G216" t="str">
        <f>VLOOKUP(D216,[1]Proizvodi!$A$1:$F$15,2,FALSE)</f>
        <v>Nameštaj za dnevnu sobu</v>
      </c>
      <c r="H216" t="str">
        <f>VLOOKUP(D216,[1]Proizvodi!$A$1:$F$15,3,FALSE)</f>
        <v>Klub sto</v>
      </c>
      <c r="I216" t="s">
        <v>433</v>
      </c>
      <c r="J216" t="str">
        <f>VLOOKUP(A216,[1]Klijenti!$A$1:$F$11,2,FALSE)</f>
        <v>Dom &amp; Dekor</v>
      </c>
      <c r="K216" t="str">
        <f>VLOOKUP(A216,[1]Klijenti!$A$1:$F$11,3,FALSE)</f>
        <v>Beogradski region</v>
      </c>
    </row>
    <row r="217" spans="1:11">
      <c r="A217" s="5">
        <v>108</v>
      </c>
      <c r="B217" s="15">
        <v>45308</v>
      </c>
      <c r="C217" s="5">
        <v>466126</v>
      </c>
      <c r="D217" s="5" t="s">
        <v>86</v>
      </c>
      <c r="E217" s="5">
        <v>26</v>
      </c>
      <c r="F217" s="32" t="s">
        <v>349</v>
      </c>
      <c r="G217" t="str">
        <f>VLOOKUP(D217,[1]Proizvodi!$A$1:$F$15,2,FALSE)</f>
        <v>Nameštaj za spavaću sobu</v>
      </c>
      <c r="H217" t="str">
        <f>VLOOKUP(D217,[1]Proizvodi!$A$1:$F$15,3,FALSE)</f>
        <v>Noćni ormarić</v>
      </c>
      <c r="I217" t="s">
        <v>433</v>
      </c>
      <c r="J217" t="str">
        <f>VLOOKUP(A217,[1]Klijenti!$A$1:$F$11,2,FALSE)</f>
        <v>Dom &amp; Dekor</v>
      </c>
      <c r="K217" t="str">
        <f>VLOOKUP(A217,[1]Klijenti!$A$1:$F$11,3,FALSE)</f>
        <v>Beogradski region</v>
      </c>
    </row>
    <row r="218" spans="1:11">
      <c r="A218" s="5">
        <v>179</v>
      </c>
      <c r="B218" s="15">
        <v>45337</v>
      </c>
      <c r="C218" s="5">
        <v>243994</v>
      </c>
      <c r="D218" s="5" t="s">
        <v>84</v>
      </c>
      <c r="E218" s="5">
        <v>7</v>
      </c>
      <c r="F218" s="32" t="s">
        <v>350</v>
      </c>
      <c r="G218" t="str">
        <f>VLOOKUP(D218,[1]Proizvodi!$A$1:$F$15,2,FALSE)</f>
        <v>Trpezarija</v>
      </c>
      <c r="H218" t="str">
        <f>VLOOKUP(D218,[1]Proizvodi!$A$1:$F$15,3,FALSE)</f>
        <v>Stolica za ručavanje</v>
      </c>
      <c r="I218" t="s">
        <v>436</v>
      </c>
      <c r="J218" t="str">
        <f>VLOOKUP(A218,[1]Klijenti!$A$1:$F$11,2,FALSE)</f>
        <v>Elegantni Enterijeri</v>
      </c>
      <c r="K218" t="str">
        <f>VLOOKUP(A218,[1]Klijenti!$A$1:$F$11,3,FALSE)</f>
        <v>Južni i Šumadijski region</v>
      </c>
    </row>
    <row r="219" spans="1:11">
      <c r="A219" s="5">
        <v>108</v>
      </c>
      <c r="B219" s="15">
        <v>45318</v>
      </c>
      <c r="C219" s="5">
        <v>466126</v>
      </c>
      <c r="D219" s="5" t="s">
        <v>86</v>
      </c>
      <c r="E219" s="5">
        <v>13</v>
      </c>
      <c r="F219" s="32" t="s">
        <v>351</v>
      </c>
      <c r="G219" t="str">
        <f>VLOOKUP(D219,[1]Proizvodi!$A$1:$F$15,2,FALSE)</f>
        <v>Nameštaj za spavaću sobu</v>
      </c>
      <c r="H219" t="str">
        <f>VLOOKUP(D219,[1]Proizvodi!$A$1:$F$15,3,FALSE)</f>
        <v>Noćni ormarić</v>
      </c>
      <c r="I219" t="s">
        <v>433</v>
      </c>
      <c r="J219" t="str">
        <f>VLOOKUP(A219,[1]Klijenti!$A$1:$F$11,2,FALSE)</f>
        <v>Dom &amp; Dekor</v>
      </c>
      <c r="K219" t="str">
        <f>VLOOKUP(A219,[1]Klijenti!$A$1:$F$11,3,FALSE)</f>
        <v>Beogradski region</v>
      </c>
    </row>
    <row r="220" spans="1:11">
      <c r="A220" s="5">
        <v>153</v>
      </c>
      <c r="B220" s="15">
        <v>45296</v>
      </c>
      <c r="C220" s="5">
        <v>688897</v>
      </c>
      <c r="D220" s="5" t="s">
        <v>100</v>
      </c>
      <c r="E220" s="5">
        <v>50</v>
      </c>
      <c r="F220" s="32" t="s">
        <v>352</v>
      </c>
      <c r="G220" t="str">
        <f>VLOOKUP(D220,[1]Proizvodi!$A$1:$F$15,2,FALSE)</f>
        <v>Kuhinja</v>
      </c>
      <c r="H220" t="str">
        <f>VLOOKUP(D220,[1]Proizvodi!$A$1:$F$15,3,FALSE)</f>
        <v>Viseća polica</v>
      </c>
      <c r="I220" t="s">
        <v>435</v>
      </c>
      <c r="J220" t="str">
        <f>VLOOKUP(A220,[1]Klijenti!$A$1:$F$11,2,FALSE)</f>
        <v>Udobni Kutak</v>
      </c>
      <c r="K220" t="str">
        <f>VLOOKUP(A220,[1]Klijenti!$A$1:$F$11,3,FALSE)</f>
        <v>Južni region</v>
      </c>
    </row>
    <row r="221" spans="1:11">
      <c r="A221" s="5">
        <v>163</v>
      </c>
      <c r="B221" s="15">
        <v>45308</v>
      </c>
      <c r="C221" s="5">
        <v>443480</v>
      </c>
      <c r="D221" s="5" t="s">
        <v>91</v>
      </c>
      <c r="E221" s="5">
        <v>50</v>
      </c>
      <c r="F221" s="32" t="s">
        <v>353</v>
      </c>
      <c r="G221" t="str">
        <f>VLOOKUP(D221,[1]Proizvodi!$A$1:$F$15,2,FALSE)</f>
        <v>Nameštaj za radnu sobu</v>
      </c>
      <c r="H221" t="str">
        <f>VLOOKUP(D221,[1]Proizvodi!$A$1:$F$15,3,FALSE)</f>
        <v>Radni sto</v>
      </c>
      <c r="I221" t="s">
        <v>434</v>
      </c>
      <c r="J221" t="str">
        <f>VLOOKUP(A221,[1]Klijenti!$A$1:$F$11,2,FALSE)</f>
        <v>Sofistikacija Doma</v>
      </c>
      <c r="K221" t="str">
        <f>VLOOKUP(A221,[1]Klijenti!$A$1:$F$11,3,FALSE)</f>
        <v>Šumadija</v>
      </c>
    </row>
    <row r="222" spans="1:11">
      <c r="A222" s="5">
        <v>186</v>
      </c>
      <c r="B222" s="15">
        <v>45307</v>
      </c>
      <c r="C222" s="5">
        <v>243994</v>
      </c>
      <c r="D222" s="5" t="s">
        <v>86</v>
      </c>
      <c r="E222" s="5">
        <v>37</v>
      </c>
      <c r="F222" s="32" t="s">
        <v>354</v>
      </c>
      <c r="G222" t="str">
        <f>VLOOKUP(D222,[1]Proizvodi!$A$1:$F$15,2,FALSE)</f>
        <v>Nameštaj za spavaću sobu</v>
      </c>
      <c r="H222" t="str">
        <f>VLOOKUP(D222,[1]Proizvodi!$A$1:$F$15,3,FALSE)</f>
        <v>Noćni ormarić</v>
      </c>
      <c r="I222" t="s">
        <v>436</v>
      </c>
      <c r="J222" t="str">
        <f>VLOOKUP(A222,[1]Klijenti!$A$1:$F$11,2,FALSE)</f>
        <v>Kuća- Uređenje i Dizajn</v>
      </c>
      <c r="K222" t="str">
        <f>VLOOKUP(A222,[1]Klijenti!$A$1:$F$11,3,FALSE)</f>
        <v>Beogradski region</v>
      </c>
    </row>
    <row r="223" spans="1:11">
      <c r="A223" s="5">
        <v>108</v>
      </c>
      <c r="B223" s="15">
        <v>45326</v>
      </c>
      <c r="C223" s="5">
        <v>466126</v>
      </c>
      <c r="D223" s="5" t="s">
        <v>82</v>
      </c>
      <c r="E223" s="5">
        <v>40</v>
      </c>
      <c r="F223" s="32" t="s">
        <v>355</v>
      </c>
      <c r="G223" t="str">
        <f>VLOOKUP(D223,[1]Proizvodi!$A$1:$F$15,2,FALSE)</f>
        <v>Nameštaj za dnevnu sobu</v>
      </c>
      <c r="H223" t="str">
        <f>VLOOKUP(D223,[1]Proizvodi!$A$1:$F$15,3,FALSE)</f>
        <v>Sofa</v>
      </c>
      <c r="I223" t="s">
        <v>433</v>
      </c>
      <c r="J223" t="str">
        <f>VLOOKUP(A223,[1]Klijenti!$A$1:$F$11,2,FALSE)</f>
        <v>Dom &amp; Dekor</v>
      </c>
      <c r="K223" t="str">
        <f>VLOOKUP(A223,[1]Klijenti!$A$1:$F$11,3,FALSE)</f>
        <v>Beogradski region</v>
      </c>
    </row>
    <row r="224" spans="1:11">
      <c r="A224" s="5">
        <v>153</v>
      </c>
      <c r="B224" s="15">
        <v>45362</v>
      </c>
      <c r="C224" s="5">
        <v>688897</v>
      </c>
      <c r="D224" s="5" t="s">
        <v>96</v>
      </c>
      <c r="E224" s="5">
        <v>28</v>
      </c>
      <c r="F224" s="32" t="s">
        <v>356</v>
      </c>
      <c r="G224" t="str">
        <f>VLOOKUP(D224,[1]Proizvodi!$A$1:$F$15,2,FALSE)</f>
        <v>Nameštaj za dnevnu sobu</v>
      </c>
      <c r="H224" t="str">
        <f>VLOOKUP(D224,[1]Proizvodi!$A$1:$F$15,3,FALSE)</f>
        <v>Ogledalo za zid</v>
      </c>
      <c r="I224" t="s">
        <v>435</v>
      </c>
      <c r="J224" t="str">
        <f>VLOOKUP(A224,[1]Klijenti!$A$1:$F$11,2,FALSE)</f>
        <v>Udobni Kutak</v>
      </c>
      <c r="K224" t="str">
        <f>VLOOKUP(A224,[1]Klijenti!$A$1:$F$11,3,FALSE)</f>
        <v>Južni region</v>
      </c>
    </row>
    <row r="225" spans="1:11">
      <c r="A225" s="5">
        <v>127</v>
      </c>
      <c r="B225" s="15">
        <v>45370</v>
      </c>
      <c r="C225" s="5">
        <v>171444</v>
      </c>
      <c r="D225" s="5" t="s">
        <v>100</v>
      </c>
      <c r="E225" s="5">
        <v>46</v>
      </c>
      <c r="F225" s="32" t="s">
        <v>357</v>
      </c>
      <c r="G225" t="str">
        <f>VLOOKUP(D225,[1]Proizvodi!$A$1:$F$15,2,FALSE)</f>
        <v>Kuhinja</v>
      </c>
      <c r="H225" t="str">
        <f>VLOOKUP(D225,[1]Proizvodi!$A$1:$F$15,3,FALSE)</f>
        <v>Viseća polica</v>
      </c>
      <c r="I225" t="s">
        <v>437</v>
      </c>
      <c r="J225" t="str">
        <f>VLOOKUP(A225,[1]Klijenti!$A$1:$F$11,2,FALSE)</f>
        <v>Luksuzni Dizajn</v>
      </c>
      <c r="K225" t="str">
        <f>VLOOKUP(A225,[1]Klijenti!$A$1:$F$11,3,FALSE)</f>
        <v>Vojvodina</v>
      </c>
    </row>
    <row r="226" spans="1:11">
      <c r="A226" s="5">
        <v>152</v>
      </c>
      <c r="B226" s="15">
        <v>45327</v>
      </c>
      <c r="C226" s="5">
        <v>171444</v>
      </c>
      <c r="D226" s="5" t="s">
        <v>103</v>
      </c>
      <c r="E226" s="5">
        <v>29</v>
      </c>
      <c r="F226" s="32" t="s">
        <v>358</v>
      </c>
      <c r="G226" t="str">
        <f>VLOOKUP(D226,[1]Proizvodi!$A$1:$F$15,2,FALSE)</f>
        <v>Kuhinja</v>
      </c>
      <c r="H226" t="str">
        <f>VLOOKUP(D226,[1]Proizvodi!$A$1:$F$15,3,FALSE)</f>
        <v>Kuhinjsko ostrvo</v>
      </c>
      <c r="I226" t="s">
        <v>437</v>
      </c>
      <c r="J226" t="str">
        <f>VLOOKUP(A226,[1]Klijenti!$A$1:$F$11,2,FALSE)</f>
        <v>Prostor za Uživanje</v>
      </c>
      <c r="K226" t="str">
        <f>VLOOKUP(A226,[1]Klijenti!$A$1:$F$11,3,FALSE)</f>
        <v>Srbija</v>
      </c>
    </row>
    <row r="227" spans="1:11">
      <c r="A227" s="5">
        <v>152</v>
      </c>
      <c r="B227" s="15">
        <v>45332</v>
      </c>
      <c r="C227" s="5">
        <v>171444</v>
      </c>
      <c r="D227" s="5" t="s">
        <v>84</v>
      </c>
      <c r="E227" s="5">
        <v>19</v>
      </c>
      <c r="F227" s="32" t="s">
        <v>359</v>
      </c>
      <c r="G227" t="str">
        <f>VLOOKUP(D227,[1]Proizvodi!$A$1:$F$15,2,FALSE)</f>
        <v>Trpezarija</v>
      </c>
      <c r="H227" t="str">
        <f>VLOOKUP(D227,[1]Proizvodi!$A$1:$F$15,3,FALSE)</f>
        <v>Stolica za ručavanje</v>
      </c>
      <c r="I227" t="s">
        <v>437</v>
      </c>
      <c r="J227" t="str">
        <f>VLOOKUP(A227,[1]Klijenti!$A$1:$F$11,2,FALSE)</f>
        <v>Prostor za Uživanje</v>
      </c>
      <c r="K227" t="str">
        <f>VLOOKUP(A227,[1]Klijenti!$A$1:$F$11,3,FALSE)</f>
        <v>Srbija</v>
      </c>
    </row>
    <row r="228" spans="1:11">
      <c r="A228" s="5">
        <v>152</v>
      </c>
      <c r="B228" s="15">
        <v>45360</v>
      </c>
      <c r="C228" s="5">
        <v>171444</v>
      </c>
      <c r="D228" s="5" t="s">
        <v>94</v>
      </c>
      <c r="E228" s="5">
        <v>33</v>
      </c>
      <c r="F228" s="32" t="s">
        <v>360</v>
      </c>
      <c r="G228" t="str">
        <f>VLOOKUP(D228,[1]Proizvodi!$A$1:$F$15,2,FALSE)</f>
        <v>Nameštaj za dnevnu sobu</v>
      </c>
      <c r="H228" t="str">
        <f>VLOOKUP(D228,[1]Proizvodi!$A$1:$F$15,3,FALSE)</f>
        <v>Polica za knjige</v>
      </c>
      <c r="I228" t="s">
        <v>437</v>
      </c>
      <c r="J228" t="str">
        <f>VLOOKUP(A228,[1]Klijenti!$A$1:$F$11,2,FALSE)</f>
        <v>Prostor za Uživanje</v>
      </c>
      <c r="K228" t="str">
        <f>VLOOKUP(A228,[1]Klijenti!$A$1:$F$11,3,FALSE)</f>
        <v>Srbija</v>
      </c>
    </row>
    <row r="229" spans="1:11">
      <c r="A229" s="5">
        <v>151</v>
      </c>
      <c r="B229" s="15">
        <v>45334</v>
      </c>
      <c r="C229" s="5">
        <v>443480</v>
      </c>
      <c r="D229" s="5" t="s">
        <v>80</v>
      </c>
      <c r="E229" s="5">
        <v>7</v>
      </c>
      <c r="F229" s="32" t="s">
        <v>361</v>
      </c>
      <c r="G229" t="str">
        <f>VLOOKUP(D229,[1]Proizvodi!$A$1:$F$15,2,FALSE)</f>
        <v>Nameštaj za dnevnu sobu</v>
      </c>
      <c r="H229" t="str">
        <f>VLOOKUP(D229,[1]Proizvodi!$A$1:$F$15,3,FALSE)</f>
        <v>Ormarić za TV</v>
      </c>
      <c r="I229" t="s">
        <v>434</v>
      </c>
      <c r="J229" t="str">
        <f>VLOOKUP(A229,[1]Klijenti!$A$1:$F$11,2,FALSE)</f>
        <v>Estetski Kutak</v>
      </c>
      <c r="K229" t="str">
        <f>VLOOKUP(A229,[1]Klijenti!$A$1:$F$11,3,FALSE)</f>
        <v>Srbija</v>
      </c>
    </row>
    <row r="230" spans="1:11">
      <c r="A230" s="5">
        <v>157</v>
      </c>
      <c r="B230" s="15">
        <v>45315</v>
      </c>
      <c r="C230" s="5">
        <v>688897</v>
      </c>
      <c r="D230" s="5" t="s">
        <v>80</v>
      </c>
      <c r="E230" s="5">
        <v>27</v>
      </c>
      <c r="F230" s="32" t="s">
        <v>362</v>
      </c>
      <c r="G230" t="str">
        <f>VLOOKUP(D230,[1]Proizvodi!$A$1:$F$15,2,FALSE)</f>
        <v>Nameštaj za dnevnu sobu</v>
      </c>
      <c r="H230" t="str">
        <f>VLOOKUP(D230,[1]Proizvodi!$A$1:$F$15,3,FALSE)</f>
        <v>Ormarić za TV</v>
      </c>
      <c r="I230" t="s">
        <v>435</v>
      </c>
      <c r="J230" t="str">
        <f>VLOOKUP(A230,[1]Klijenti!$A$1:$F$11,2,FALSE)</f>
        <v>Stilski Stan</v>
      </c>
      <c r="K230" t="str">
        <f>VLOOKUP(A230,[1]Klijenti!$A$1:$F$11,3,FALSE)</f>
        <v>Vojvodina i Beograd</v>
      </c>
    </row>
    <row r="231" spans="1:11">
      <c r="A231" s="5">
        <v>151</v>
      </c>
      <c r="B231" s="15">
        <v>45317</v>
      </c>
      <c r="C231" s="5">
        <v>443480</v>
      </c>
      <c r="D231" s="5" t="s">
        <v>103</v>
      </c>
      <c r="E231" s="5">
        <v>32</v>
      </c>
      <c r="F231" s="32" t="s">
        <v>363</v>
      </c>
      <c r="G231" t="str">
        <f>VLOOKUP(D231,[1]Proizvodi!$A$1:$F$15,2,FALSE)</f>
        <v>Kuhinja</v>
      </c>
      <c r="H231" t="str">
        <f>VLOOKUP(D231,[1]Proizvodi!$A$1:$F$15,3,FALSE)</f>
        <v>Kuhinjsko ostrvo</v>
      </c>
      <c r="I231" t="s">
        <v>434</v>
      </c>
      <c r="J231" t="str">
        <f>VLOOKUP(A231,[1]Klijenti!$A$1:$F$11,2,FALSE)</f>
        <v>Estetski Kutak</v>
      </c>
      <c r="K231" t="str">
        <f>VLOOKUP(A231,[1]Klijenti!$A$1:$F$11,3,FALSE)</f>
        <v>Srbija</v>
      </c>
    </row>
    <row r="232" spans="1:11">
      <c r="A232" s="5">
        <v>163</v>
      </c>
      <c r="B232" s="15">
        <v>45357</v>
      </c>
      <c r="C232" s="5">
        <v>443480</v>
      </c>
      <c r="D232" s="5" t="s">
        <v>78</v>
      </c>
      <c r="E232" s="5">
        <v>47</v>
      </c>
      <c r="F232" s="32" t="s">
        <v>364</v>
      </c>
      <c r="G232" t="str">
        <f>VLOOKUP(D232,[1]Proizvodi!$A$1:$F$15,2,FALSE)</f>
        <v>Nameštaj za dnevnu sobu</v>
      </c>
      <c r="H232" t="str">
        <f>VLOOKUP(D232,[1]Proizvodi!$A$1:$F$15,3,FALSE)</f>
        <v>Rasklopiva fotelja</v>
      </c>
      <c r="I232" t="s">
        <v>434</v>
      </c>
      <c r="J232" t="str">
        <f>VLOOKUP(A232,[1]Klijenti!$A$1:$F$11,2,FALSE)</f>
        <v>Sofistikacija Doma</v>
      </c>
      <c r="K232" t="str">
        <f>VLOOKUP(A232,[1]Klijenti!$A$1:$F$11,3,FALSE)</f>
        <v>Šumadija</v>
      </c>
    </row>
    <row r="233" spans="1:11">
      <c r="A233" s="5">
        <v>108</v>
      </c>
      <c r="B233" s="15">
        <v>45365</v>
      </c>
      <c r="C233" s="5">
        <v>466126</v>
      </c>
      <c r="D233" s="5" t="s">
        <v>96</v>
      </c>
      <c r="E233" s="5">
        <v>6</v>
      </c>
      <c r="F233" s="32" t="s">
        <v>365</v>
      </c>
      <c r="G233" t="str">
        <f>VLOOKUP(D233,[1]Proizvodi!$A$1:$F$15,2,FALSE)</f>
        <v>Nameštaj za dnevnu sobu</v>
      </c>
      <c r="H233" t="str">
        <f>VLOOKUP(D233,[1]Proizvodi!$A$1:$F$15,3,FALSE)</f>
        <v>Ogledalo za zid</v>
      </c>
      <c r="I233" t="s">
        <v>433</v>
      </c>
      <c r="J233" t="str">
        <f>VLOOKUP(A233,[1]Klijenti!$A$1:$F$11,2,FALSE)</f>
        <v>Dom &amp; Dekor</v>
      </c>
      <c r="K233" t="str">
        <f>VLOOKUP(A233,[1]Klijenti!$A$1:$F$11,3,FALSE)</f>
        <v>Beogradski region</v>
      </c>
    </row>
    <row r="234" spans="1:11">
      <c r="A234" s="5">
        <v>151</v>
      </c>
      <c r="B234" s="15">
        <v>45357</v>
      </c>
      <c r="C234" s="5">
        <v>443480</v>
      </c>
      <c r="D234" s="5" t="s">
        <v>94</v>
      </c>
      <c r="E234" s="5">
        <v>24</v>
      </c>
      <c r="F234" s="32" t="s">
        <v>366</v>
      </c>
      <c r="G234" t="str">
        <f>VLOOKUP(D234,[1]Proizvodi!$A$1:$F$15,2,FALSE)</f>
        <v>Nameštaj za dnevnu sobu</v>
      </c>
      <c r="H234" t="str">
        <f>VLOOKUP(D234,[1]Proizvodi!$A$1:$F$15,3,FALSE)</f>
        <v>Polica za knjige</v>
      </c>
      <c r="I234" t="s">
        <v>434</v>
      </c>
      <c r="J234" t="str">
        <f>VLOOKUP(A234,[1]Klijenti!$A$1:$F$11,2,FALSE)</f>
        <v>Estetski Kutak</v>
      </c>
      <c r="K234" t="str">
        <f>VLOOKUP(A234,[1]Klijenti!$A$1:$F$11,3,FALSE)</f>
        <v>Srbija</v>
      </c>
    </row>
    <row r="235" spans="1:11">
      <c r="A235" s="5">
        <v>153</v>
      </c>
      <c r="B235" s="15">
        <v>45323</v>
      </c>
      <c r="C235" s="5">
        <v>688897</v>
      </c>
      <c r="D235" s="5" t="s">
        <v>91</v>
      </c>
      <c r="E235" s="5">
        <v>46</v>
      </c>
      <c r="F235" s="32" t="s">
        <v>367</v>
      </c>
      <c r="G235" t="str">
        <f>VLOOKUP(D235,[1]Proizvodi!$A$1:$F$15,2,FALSE)</f>
        <v>Nameštaj za radnu sobu</v>
      </c>
      <c r="H235" t="str">
        <f>VLOOKUP(D235,[1]Proizvodi!$A$1:$F$15,3,FALSE)</f>
        <v>Radni sto</v>
      </c>
      <c r="I235" t="s">
        <v>435</v>
      </c>
      <c r="J235" t="str">
        <f>VLOOKUP(A235,[1]Klijenti!$A$1:$F$11,2,FALSE)</f>
        <v>Udobni Kutak</v>
      </c>
      <c r="K235" t="str">
        <f>VLOOKUP(A235,[1]Klijenti!$A$1:$F$11,3,FALSE)</f>
        <v>Južni region</v>
      </c>
    </row>
    <row r="236" spans="1:11">
      <c r="A236" s="5">
        <v>195</v>
      </c>
      <c r="B236" s="15">
        <v>45378</v>
      </c>
      <c r="C236" s="5">
        <v>466126</v>
      </c>
      <c r="D236" s="5" t="s">
        <v>94</v>
      </c>
      <c r="E236" s="5">
        <v>26</v>
      </c>
      <c r="F236" s="32" t="s">
        <v>368</v>
      </c>
      <c r="G236" t="str">
        <f>VLOOKUP(D236,[1]Proizvodi!$A$1:$F$15,2,FALSE)</f>
        <v>Nameštaj za dnevnu sobu</v>
      </c>
      <c r="H236" t="str">
        <f>VLOOKUP(D236,[1]Proizvodi!$A$1:$F$15,3,FALSE)</f>
        <v>Polica za knjige</v>
      </c>
      <c r="I236" t="s">
        <v>433</v>
      </c>
      <c r="J236" t="str">
        <f>VLOOKUP(A236,[1]Klijenti!$A$1:$F$11,2,FALSE)</f>
        <v>Moderni Dom</v>
      </c>
      <c r="K236" t="str">
        <f>VLOOKUP(A236,[1]Klijenti!$A$1:$F$11,3,FALSE)</f>
        <v>Srbija</v>
      </c>
    </row>
    <row r="237" spans="1:11">
      <c r="A237" s="5">
        <v>153</v>
      </c>
      <c r="B237" s="15">
        <v>45350</v>
      </c>
      <c r="C237" s="5">
        <v>688897</v>
      </c>
      <c r="D237" s="5" t="s">
        <v>86</v>
      </c>
      <c r="E237" s="5">
        <v>8</v>
      </c>
      <c r="F237" s="32" t="s">
        <v>369</v>
      </c>
      <c r="G237" t="str">
        <f>VLOOKUP(D237,[1]Proizvodi!$A$1:$F$15,2,FALSE)</f>
        <v>Nameštaj za spavaću sobu</v>
      </c>
      <c r="H237" t="str">
        <f>VLOOKUP(D237,[1]Proizvodi!$A$1:$F$15,3,FALSE)</f>
        <v>Noćni ormarić</v>
      </c>
      <c r="I237" t="s">
        <v>435</v>
      </c>
      <c r="J237" t="str">
        <f>VLOOKUP(A237,[1]Klijenti!$A$1:$F$11,2,FALSE)</f>
        <v>Udobni Kutak</v>
      </c>
      <c r="K237" t="str">
        <f>VLOOKUP(A237,[1]Klijenti!$A$1:$F$11,3,FALSE)</f>
        <v>Južni region</v>
      </c>
    </row>
    <row r="238" spans="1:11">
      <c r="A238" s="5">
        <v>195</v>
      </c>
      <c r="B238" s="15">
        <v>45352</v>
      </c>
      <c r="C238" s="5">
        <v>466126</v>
      </c>
      <c r="D238" s="5" t="s">
        <v>84</v>
      </c>
      <c r="E238" s="5">
        <v>49</v>
      </c>
      <c r="F238" s="32" t="s">
        <v>370</v>
      </c>
      <c r="G238" t="str">
        <f>VLOOKUP(D238,[1]Proizvodi!$A$1:$F$15,2,FALSE)</f>
        <v>Trpezarija</v>
      </c>
      <c r="H238" t="str">
        <f>VLOOKUP(D238,[1]Proizvodi!$A$1:$F$15,3,FALSE)</f>
        <v>Stolica za ručavanje</v>
      </c>
      <c r="I238" t="s">
        <v>433</v>
      </c>
      <c r="J238" t="str">
        <f>VLOOKUP(A238,[1]Klijenti!$A$1:$F$11,2,FALSE)</f>
        <v>Moderni Dom</v>
      </c>
      <c r="K238" t="str">
        <f>VLOOKUP(A238,[1]Klijenti!$A$1:$F$11,3,FALSE)</f>
        <v>Srbija</v>
      </c>
    </row>
    <row r="239" spans="1:11">
      <c r="A239" s="5">
        <v>153</v>
      </c>
      <c r="B239" s="15">
        <v>45296</v>
      </c>
      <c r="C239" s="5">
        <v>688897</v>
      </c>
      <c r="D239" s="5" t="s">
        <v>100</v>
      </c>
      <c r="E239" s="5">
        <v>14</v>
      </c>
      <c r="F239" s="32" t="s">
        <v>371</v>
      </c>
      <c r="G239" t="str">
        <f>VLOOKUP(D239,[1]Proizvodi!$A$1:$F$15,2,FALSE)</f>
        <v>Kuhinja</v>
      </c>
      <c r="H239" t="str">
        <f>VLOOKUP(D239,[1]Proizvodi!$A$1:$F$15,3,FALSE)</f>
        <v>Viseća polica</v>
      </c>
      <c r="I239" t="s">
        <v>435</v>
      </c>
      <c r="J239" t="str">
        <f>VLOOKUP(A239,[1]Klijenti!$A$1:$F$11,2,FALSE)</f>
        <v>Udobni Kutak</v>
      </c>
      <c r="K239" t="str">
        <f>VLOOKUP(A239,[1]Klijenti!$A$1:$F$11,3,FALSE)</f>
        <v>Južni region</v>
      </c>
    </row>
    <row r="240" spans="1:11">
      <c r="A240" s="5">
        <v>157</v>
      </c>
      <c r="B240" s="15">
        <v>45349</v>
      </c>
      <c r="C240" s="5">
        <v>688897</v>
      </c>
      <c r="D240" s="5" t="s">
        <v>103</v>
      </c>
      <c r="E240" s="5">
        <v>42</v>
      </c>
      <c r="F240" s="32" t="s">
        <v>372</v>
      </c>
      <c r="G240" t="str">
        <f>VLOOKUP(D240,[1]Proizvodi!$A$1:$F$15,2,FALSE)</f>
        <v>Kuhinja</v>
      </c>
      <c r="H240" t="str">
        <f>VLOOKUP(D240,[1]Proizvodi!$A$1:$F$15,3,FALSE)</f>
        <v>Kuhinjsko ostrvo</v>
      </c>
      <c r="I240" t="s">
        <v>435</v>
      </c>
      <c r="J240" t="str">
        <f>VLOOKUP(A240,[1]Klijenti!$A$1:$F$11,2,FALSE)</f>
        <v>Stilski Stan</v>
      </c>
      <c r="K240" t="str">
        <f>VLOOKUP(A240,[1]Klijenti!$A$1:$F$11,3,FALSE)</f>
        <v>Vojvodina i Beograd</v>
      </c>
    </row>
    <row r="241" spans="1:11">
      <c r="A241" s="5">
        <v>163</v>
      </c>
      <c r="B241" s="15">
        <v>45367</v>
      </c>
      <c r="C241" s="5">
        <v>443480</v>
      </c>
      <c r="D241" s="5" t="s">
        <v>82</v>
      </c>
      <c r="E241" s="5">
        <v>44</v>
      </c>
      <c r="F241" s="32" t="s">
        <v>373</v>
      </c>
      <c r="G241" t="str">
        <f>VLOOKUP(D241,[1]Proizvodi!$A$1:$F$15,2,FALSE)</f>
        <v>Nameštaj za dnevnu sobu</v>
      </c>
      <c r="H241" t="str">
        <f>VLOOKUP(D241,[1]Proizvodi!$A$1:$F$15,3,FALSE)</f>
        <v>Sofa</v>
      </c>
      <c r="I241" t="s">
        <v>434</v>
      </c>
      <c r="J241" t="str">
        <f>VLOOKUP(A241,[1]Klijenti!$A$1:$F$11,2,FALSE)</f>
        <v>Sofistikacija Doma</v>
      </c>
      <c r="K241" t="str">
        <f>VLOOKUP(A241,[1]Klijenti!$A$1:$F$11,3,FALSE)</f>
        <v>Šumadija</v>
      </c>
    </row>
    <row r="242" spans="1:11">
      <c r="A242" s="5">
        <v>153</v>
      </c>
      <c r="B242" s="15">
        <v>45341</v>
      </c>
      <c r="C242" s="5">
        <v>688897</v>
      </c>
      <c r="D242" s="5" t="s">
        <v>78</v>
      </c>
      <c r="E242" s="5">
        <v>50</v>
      </c>
      <c r="F242" s="32" t="s">
        <v>374</v>
      </c>
      <c r="G242" t="str">
        <f>VLOOKUP(D242,[1]Proizvodi!$A$1:$F$15,2,FALSE)</f>
        <v>Nameštaj za dnevnu sobu</v>
      </c>
      <c r="H242" t="str">
        <f>VLOOKUP(D242,[1]Proizvodi!$A$1:$F$15,3,FALSE)</f>
        <v>Rasklopiva fotelja</v>
      </c>
      <c r="I242" t="s">
        <v>435</v>
      </c>
      <c r="J242" t="str">
        <f>VLOOKUP(A242,[1]Klijenti!$A$1:$F$11,2,FALSE)</f>
        <v>Udobni Kutak</v>
      </c>
      <c r="K242" t="str">
        <f>VLOOKUP(A242,[1]Klijenti!$A$1:$F$11,3,FALSE)</f>
        <v>Južni region</v>
      </c>
    </row>
    <row r="243" spans="1:11">
      <c r="A243" s="5">
        <v>186</v>
      </c>
      <c r="B243" s="15">
        <v>45350</v>
      </c>
      <c r="C243" s="5">
        <v>243994</v>
      </c>
      <c r="D243" s="5" t="s">
        <v>91</v>
      </c>
      <c r="E243" s="5">
        <v>40</v>
      </c>
      <c r="F243" s="32" t="s">
        <v>375</v>
      </c>
      <c r="G243" t="str">
        <f>VLOOKUP(D243,[1]Proizvodi!$A$1:$F$15,2,FALSE)</f>
        <v>Nameštaj za radnu sobu</v>
      </c>
      <c r="H243" t="str">
        <f>VLOOKUP(D243,[1]Proizvodi!$A$1:$F$15,3,FALSE)</f>
        <v>Radni sto</v>
      </c>
      <c r="I243" t="s">
        <v>436</v>
      </c>
      <c r="J243" t="str">
        <f>VLOOKUP(A243,[1]Klijenti!$A$1:$F$11,2,FALSE)</f>
        <v>Kuća- Uređenje i Dizajn</v>
      </c>
      <c r="K243" t="str">
        <f>VLOOKUP(A243,[1]Klijenti!$A$1:$F$11,3,FALSE)</f>
        <v>Beogradski region</v>
      </c>
    </row>
    <row r="244" spans="1:11">
      <c r="A244" s="5">
        <v>108</v>
      </c>
      <c r="B244" s="15">
        <v>45318</v>
      </c>
      <c r="C244" s="5">
        <v>466126</v>
      </c>
      <c r="D244" s="5" t="s">
        <v>82</v>
      </c>
      <c r="E244" s="5">
        <v>43</v>
      </c>
      <c r="F244" s="32" t="s">
        <v>376</v>
      </c>
      <c r="G244" t="str">
        <f>VLOOKUP(D244,[1]Proizvodi!$A$1:$F$15,2,FALSE)</f>
        <v>Nameštaj za dnevnu sobu</v>
      </c>
      <c r="H244" t="str">
        <f>VLOOKUP(D244,[1]Proizvodi!$A$1:$F$15,3,FALSE)</f>
        <v>Sofa</v>
      </c>
      <c r="I244" t="s">
        <v>433</v>
      </c>
      <c r="J244" t="str">
        <f>VLOOKUP(A244,[1]Klijenti!$A$1:$F$11,2,FALSE)</f>
        <v>Dom &amp; Dekor</v>
      </c>
      <c r="K244" t="str">
        <f>VLOOKUP(A244,[1]Klijenti!$A$1:$F$11,3,FALSE)</f>
        <v>Beogradski region</v>
      </c>
    </row>
    <row r="245" spans="1:11">
      <c r="A245" s="5">
        <v>151</v>
      </c>
      <c r="B245" s="15">
        <v>45361</v>
      </c>
      <c r="C245" s="5">
        <v>443480</v>
      </c>
      <c r="D245" s="5" t="s">
        <v>84</v>
      </c>
      <c r="E245" s="5">
        <v>12</v>
      </c>
      <c r="F245" s="32" t="s">
        <v>377</v>
      </c>
      <c r="G245" t="str">
        <f>VLOOKUP(D245,[1]Proizvodi!$A$1:$F$15,2,FALSE)</f>
        <v>Trpezarija</v>
      </c>
      <c r="H245" t="str">
        <f>VLOOKUP(D245,[1]Proizvodi!$A$1:$F$15,3,FALSE)</f>
        <v>Stolica za ručavanje</v>
      </c>
      <c r="I245" t="s">
        <v>434</v>
      </c>
      <c r="J245" t="str">
        <f>VLOOKUP(A245,[1]Klijenti!$A$1:$F$11,2,FALSE)</f>
        <v>Estetski Kutak</v>
      </c>
      <c r="K245" t="str">
        <f>VLOOKUP(A245,[1]Klijenti!$A$1:$F$11,3,FALSE)</f>
        <v>Srbija</v>
      </c>
    </row>
    <row r="246" spans="1:11">
      <c r="A246" s="5">
        <v>163</v>
      </c>
      <c r="B246" s="15">
        <v>45303</v>
      </c>
      <c r="C246" s="5">
        <v>443480</v>
      </c>
      <c r="D246" s="5" t="s">
        <v>91</v>
      </c>
      <c r="E246" s="5">
        <v>39</v>
      </c>
      <c r="F246" s="32" t="s">
        <v>378</v>
      </c>
      <c r="G246" t="str">
        <f>VLOOKUP(D246,[1]Proizvodi!$A$1:$F$15,2,FALSE)</f>
        <v>Nameštaj za radnu sobu</v>
      </c>
      <c r="H246" t="str">
        <f>VLOOKUP(D246,[1]Proizvodi!$A$1:$F$15,3,FALSE)</f>
        <v>Radni sto</v>
      </c>
      <c r="I246" t="s">
        <v>434</v>
      </c>
      <c r="J246" t="str">
        <f>VLOOKUP(A246,[1]Klijenti!$A$1:$F$11,2,FALSE)</f>
        <v>Sofistikacija Doma</v>
      </c>
      <c r="K246" t="str">
        <f>VLOOKUP(A246,[1]Klijenti!$A$1:$F$11,3,FALSE)</f>
        <v>Šumadija</v>
      </c>
    </row>
    <row r="247" spans="1:11">
      <c r="A247" s="5">
        <v>151</v>
      </c>
      <c r="B247" s="15">
        <v>45306</v>
      </c>
      <c r="C247" s="5">
        <v>443480</v>
      </c>
      <c r="D247" s="5" t="s">
        <v>84</v>
      </c>
      <c r="E247" s="5">
        <v>24</v>
      </c>
      <c r="F247" s="32" t="s">
        <v>379</v>
      </c>
      <c r="G247" t="str">
        <f>VLOOKUP(D247,[1]Proizvodi!$A$1:$F$15,2,FALSE)</f>
        <v>Trpezarija</v>
      </c>
      <c r="H247" t="str">
        <f>VLOOKUP(D247,[1]Proizvodi!$A$1:$F$15,3,FALSE)</f>
        <v>Stolica za ručavanje</v>
      </c>
      <c r="I247" t="s">
        <v>434</v>
      </c>
      <c r="J247" t="str">
        <f>VLOOKUP(A247,[1]Klijenti!$A$1:$F$11,2,FALSE)</f>
        <v>Estetski Kutak</v>
      </c>
      <c r="K247" t="str">
        <f>VLOOKUP(A247,[1]Klijenti!$A$1:$F$11,3,FALSE)</f>
        <v>Srbija</v>
      </c>
    </row>
    <row r="248" spans="1:11">
      <c r="A248" s="5">
        <v>127</v>
      </c>
      <c r="B248" s="15">
        <v>45346</v>
      </c>
      <c r="C248" s="5">
        <v>171444</v>
      </c>
      <c r="D248" s="5" t="s">
        <v>91</v>
      </c>
      <c r="E248" s="5">
        <v>14</v>
      </c>
      <c r="F248" s="32" t="s">
        <v>380</v>
      </c>
      <c r="G248" t="str">
        <f>VLOOKUP(D248,[1]Proizvodi!$A$1:$F$15,2,FALSE)</f>
        <v>Nameštaj za radnu sobu</v>
      </c>
      <c r="H248" t="str">
        <f>VLOOKUP(D248,[1]Proizvodi!$A$1:$F$15,3,FALSE)</f>
        <v>Radni sto</v>
      </c>
      <c r="I248" t="s">
        <v>437</v>
      </c>
      <c r="J248" t="str">
        <f>VLOOKUP(A248,[1]Klijenti!$A$1:$F$11,2,FALSE)</f>
        <v>Luksuzni Dizajn</v>
      </c>
      <c r="K248" t="str">
        <f>VLOOKUP(A248,[1]Klijenti!$A$1:$F$11,3,FALSE)</f>
        <v>Vojvodina</v>
      </c>
    </row>
    <row r="249" spans="1:11">
      <c r="A249" s="5">
        <v>163</v>
      </c>
      <c r="B249" s="15">
        <v>45351</v>
      </c>
      <c r="C249" s="5">
        <v>443480</v>
      </c>
      <c r="D249" s="5" t="s">
        <v>91</v>
      </c>
      <c r="E249" s="5">
        <v>9</v>
      </c>
      <c r="F249" s="32" t="s">
        <v>381</v>
      </c>
      <c r="G249" t="str">
        <f>VLOOKUP(D249,[1]Proizvodi!$A$1:$F$15,2,FALSE)</f>
        <v>Nameštaj za radnu sobu</v>
      </c>
      <c r="H249" t="str">
        <f>VLOOKUP(D249,[1]Proizvodi!$A$1:$F$15,3,FALSE)</f>
        <v>Radni sto</v>
      </c>
      <c r="I249" t="s">
        <v>434</v>
      </c>
      <c r="J249" t="str">
        <f>VLOOKUP(A249,[1]Klijenti!$A$1:$F$11,2,FALSE)</f>
        <v>Sofistikacija Doma</v>
      </c>
      <c r="K249" t="str">
        <f>VLOOKUP(A249,[1]Klijenti!$A$1:$F$11,3,FALSE)</f>
        <v>Šumadija</v>
      </c>
    </row>
    <row r="250" spans="1:11">
      <c r="A250" s="5">
        <v>157</v>
      </c>
      <c r="B250" s="15">
        <v>45328</v>
      </c>
      <c r="C250" s="5">
        <v>688897</v>
      </c>
      <c r="D250" s="5" t="s">
        <v>80</v>
      </c>
      <c r="E250" s="5">
        <v>13</v>
      </c>
      <c r="F250" s="32" t="s">
        <v>382</v>
      </c>
      <c r="G250" t="str">
        <f>VLOOKUP(D250,[1]Proizvodi!$A$1:$F$15,2,FALSE)</f>
        <v>Nameštaj za dnevnu sobu</v>
      </c>
      <c r="H250" t="str">
        <f>VLOOKUP(D250,[1]Proizvodi!$A$1:$F$15,3,FALSE)</f>
        <v>Ormarić za TV</v>
      </c>
      <c r="I250" t="s">
        <v>435</v>
      </c>
      <c r="J250" t="str">
        <f>VLOOKUP(A250,[1]Klijenti!$A$1:$F$11,2,FALSE)</f>
        <v>Stilski Stan</v>
      </c>
      <c r="K250" t="str">
        <f>VLOOKUP(A250,[1]Klijenti!$A$1:$F$11,3,FALSE)</f>
        <v>Vojvodina i Beograd</v>
      </c>
    </row>
    <row r="251" spans="1:11">
      <c r="A251" s="5">
        <v>151</v>
      </c>
      <c r="B251" s="15">
        <v>45322</v>
      </c>
      <c r="C251" s="5">
        <v>443480</v>
      </c>
      <c r="D251" s="5" t="s">
        <v>98</v>
      </c>
      <c r="E251" s="5">
        <v>8</v>
      </c>
      <c r="F251" s="32" t="s">
        <v>383</v>
      </c>
      <c r="G251" t="str">
        <f>VLOOKUP(D251,[1]Proizvodi!$A$1:$F$15,2,FALSE)</f>
        <v>Nameštaj za dnevnu sobu</v>
      </c>
      <c r="H251" t="str">
        <f>VLOOKUP(D251,[1]Proizvodi!$A$1:$F$15,3,FALSE)</f>
        <v>Tabure</v>
      </c>
      <c r="I251" t="s">
        <v>434</v>
      </c>
      <c r="J251" t="str">
        <f>VLOOKUP(A251,[1]Klijenti!$A$1:$F$11,2,FALSE)</f>
        <v>Estetski Kutak</v>
      </c>
      <c r="K251" t="str">
        <f>VLOOKUP(A251,[1]Klijenti!$A$1:$F$11,3,FALSE)</f>
        <v>Srbija</v>
      </c>
    </row>
    <row r="252" spans="1:11">
      <c r="A252" s="5">
        <v>108</v>
      </c>
      <c r="B252" s="15">
        <v>45293</v>
      </c>
      <c r="C252" s="5">
        <v>466126</v>
      </c>
      <c r="D252" s="5" t="s">
        <v>86</v>
      </c>
      <c r="E252" s="5">
        <v>16</v>
      </c>
      <c r="F252" s="32" t="s">
        <v>384</v>
      </c>
      <c r="G252" t="str">
        <f>VLOOKUP(D252,[1]Proizvodi!$A$1:$F$15,2,FALSE)</f>
        <v>Nameštaj za spavaću sobu</v>
      </c>
      <c r="H252" t="str">
        <f>VLOOKUP(D252,[1]Proizvodi!$A$1:$F$15,3,FALSE)</f>
        <v>Noćni ormarić</v>
      </c>
      <c r="I252" t="s">
        <v>433</v>
      </c>
      <c r="J252" t="str">
        <f>VLOOKUP(A252,[1]Klijenti!$A$1:$F$11,2,FALSE)</f>
        <v>Dom &amp; Dekor</v>
      </c>
      <c r="K252" t="str">
        <f>VLOOKUP(A252,[1]Klijenti!$A$1:$F$11,3,FALSE)</f>
        <v>Beogradski region</v>
      </c>
    </row>
    <row r="253" spans="1:11">
      <c r="A253" s="5">
        <v>163</v>
      </c>
      <c r="B253" s="15">
        <v>45346</v>
      </c>
      <c r="C253" s="5">
        <v>443480</v>
      </c>
      <c r="D253" s="5" t="s">
        <v>96</v>
      </c>
      <c r="E253" s="5">
        <v>2</v>
      </c>
      <c r="F253" s="32" t="s">
        <v>385</v>
      </c>
      <c r="G253" t="str">
        <f>VLOOKUP(D253,[1]Proizvodi!$A$1:$F$15,2,FALSE)</f>
        <v>Nameštaj za dnevnu sobu</v>
      </c>
      <c r="H253" t="str">
        <f>VLOOKUP(D253,[1]Proizvodi!$A$1:$F$15,3,FALSE)</f>
        <v>Ogledalo za zid</v>
      </c>
      <c r="I253" t="s">
        <v>434</v>
      </c>
      <c r="J253" t="str">
        <f>VLOOKUP(A253,[1]Klijenti!$A$1:$F$11,2,FALSE)</f>
        <v>Sofistikacija Doma</v>
      </c>
      <c r="K253" t="str">
        <f>VLOOKUP(A253,[1]Klijenti!$A$1:$F$11,3,FALSE)</f>
        <v>Šumadija</v>
      </c>
    </row>
    <row r="254" spans="1:11">
      <c r="A254" s="5">
        <v>151</v>
      </c>
      <c r="B254" s="15">
        <v>45336</v>
      </c>
      <c r="C254" s="5">
        <v>443480</v>
      </c>
      <c r="D254" s="5" t="s">
        <v>84</v>
      </c>
      <c r="E254" s="5">
        <v>8</v>
      </c>
      <c r="F254" s="32" t="s">
        <v>386</v>
      </c>
      <c r="G254" t="str">
        <f>VLOOKUP(D254,[1]Proizvodi!$A$1:$F$15,2,FALSE)</f>
        <v>Trpezarija</v>
      </c>
      <c r="H254" t="str">
        <f>VLOOKUP(D254,[1]Proizvodi!$A$1:$F$15,3,FALSE)</f>
        <v>Stolica za ručavanje</v>
      </c>
      <c r="I254" t="s">
        <v>434</v>
      </c>
      <c r="J254" t="str">
        <f>VLOOKUP(A254,[1]Klijenti!$A$1:$F$11,2,FALSE)</f>
        <v>Estetski Kutak</v>
      </c>
      <c r="K254" t="str">
        <f>VLOOKUP(A254,[1]Klijenti!$A$1:$F$11,3,FALSE)</f>
        <v>Srbija</v>
      </c>
    </row>
    <row r="255" spans="1:11">
      <c r="A255" s="5">
        <v>151</v>
      </c>
      <c r="B255" s="15">
        <v>45321</v>
      </c>
      <c r="C255" s="5">
        <v>443480</v>
      </c>
      <c r="D255" s="5" t="s">
        <v>98</v>
      </c>
      <c r="E255" s="5">
        <v>39</v>
      </c>
      <c r="F255" s="32" t="s">
        <v>387</v>
      </c>
      <c r="G255" t="str">
        <f>VLOOKUP(D255,[1]Proizvodi!$A$1:$F$15,2,FALSE)</f>
        <v>Nameštaj za dnevnu sobu</v>
      </c>
      <c r="H255" t="str">
        <f>VLOOKUP(D255,[1]Proizvodi!$A$1:$F$15,3,FALSE)</f>
        <v>Tabure</v>
      </c>
      <c r="I255" t="s">
        <v>434</v>
      </c>
      <c r="J255" t="str">
        <f>VLOOKUP(A255,[1]Klijenti!$A$1:$F$11,2,FALSE)</f>
        <v>Estetski Kutak</v>
      </c>
      <c r="K255" t="str">
        <f>VLOOKUP(A255,[1]Klijenti!$A$1:$F$11,3,FALSE)</f>
        <v>Srbija</v>
      </c>
    </row>
    <row r="256" spans="1:11">
      <c r="A256" s="5">
        <v>153</v>
      </c>
      <c r="B256" s="15">
        <v>45379</v>
      </c>
      <c r="C256" s="5">
        <v>688897</v>
      </c>
      <c r="D256" s="5" t="s">
        <v>91</v>
      </c>
      <c r="E256" s="5">
        <v>47</v>
      </c>
      <c r="F256" s="32" t="s">
        <v>388</v>
      </c>
      <c r="G256" t="str">
        <f>VLOOKUP(D256,[1]Proizvodi!$A$1:$F$15,2,FALSE)</f>
        <v>Nameštaj za radnu sobu</v>
      </c>
      <c r="H256" t="str">
        <f>VLOOKUP(D256,[1]Proizvodi!$A$1:$F$15,3,FALSE)</f>
        <v>Radni sto</v>
      </c>
      <c r="I256" t="s">
        <v>435</v>
      </c>
      <c r="J256" t="str">
        <f>VLOOKUP(A256,[1]Klijenti!$A$1:$F$11,2,FALSE)</f>
        <v>Udobni Kutak</v>
      </c>
      <c r="K256" t="str">
        <f>VLOOKUP(A256,[1]Klijenti!$A$1:$F$11,3,FALSE)</f>
        <v>Južni region</v>
      </c>
    </row>
    <row r="257" spans="1:11">
      <c r="A257" s="5">
        <v>127</v>
      </c>
      <c r="B257" s="15">
        <v>45379</v>
      </c>
      <c r="C257" s="5">
        <v>171444</v>
      </c>
      <c r="D257" s="5" t="s">
        <v>82</v>
      </c>
      <c r="E257" s="5">
        <v>26</v>
      </c>
      <c r="F257" s="32" t="s">
        <v>389</v>
      </c>
      <c r="G257" t="str">
        <f>VLOOKUP(D257,[1]Proizvodi!$A$1:$F$15,2,FALSE)</f>
        <v>Nameštaj za dnevnu sobu</v>
      </c>
      <c r="H257" t="str">
        <f>VLOOKUP(D257,[1]Proizvodi!$A$1:$F$15,3,FALSE)</f>
        <v>Sofa</v>
      </c>
      <c r="I257" t="s">
        <v>437</v>
      </c>
      <c r="J257" t="str">
        <f>VLOOKUP(A257,[1]Klijenti!$A$1:$F$11,2,FALSE)</f>
        <v>Luksuzni Dizajn</v>
      </c>
      <c r="K257" t="str">
        <f>VLOOKUP(A257,[1]Klijenti!$A$1:$F$11,3,FALSE)</f>
        <v>Vojvodina</v>
      </c>
    </row>
    <row r="258" spans="1:11">
      <c r="A258" s="5">
        <v>186</v>
      </c>
      <c r="B258" s="15">
        <v>45363</v>
      </c>
      <c r="C258" s="5">
        <v>243994</v>
      </c>
      <c r="D258" s="5" t="s">
        <v>96</v>
      </c>
      <c r="E258" s="5">
        <v>29</v>
      </c>
      <c r="F258" s="32" t="s">
        <v>390</v>
      </c>
      <c r="G258" t="str">
        <f>VLOOKUP(D258,[1]Proizvodi!$A$1:$F$15,2,FALSE)</f>
        <v>Nameštaj za dnevnu sobu</v>
      </c>
      <c r="H258" t="str">
        <f>VLOOKUP(D258,[1]Proizvodi!$A$1:$F$15,3,FALSE)</f>
        <v>Ogledalo za zid</v>
      </c>
      <c r="I258" t="s">
        <v>436</v>
      </c>
      <c r="J258" t="str">
        <f>VLOOKUP(A258,[1]Klijenti!$A$1:$F$11,2,FALSE)</f>
        <v>Kuća- Uređenje i Dizajn</v>
      </c>
      <c r="K258" t="str">
        <f>VLOOKUP(A258,[1]Klijenti!$A$1:$F$11,3,FALSE)</f>
        <v>Beogradski region</v>
      </c>
    </row>
    <row r="259" spans="1:11">
      <c r="A259" s="5">
        <v>157</v>
      </c>
      <c r="B259" s="15">
        <v>45359</v>
      </c>
      <c r="C259" s="5">
        <v>688897</v>
      </c>
      <c r="D259" s="5" t="s">
        <v>89</v>
      </c>
      <c r="E259" s="5">
        <v>25</v>
      </c>
      <c r="F259" s="32" t="s">
        <v>391</v>
      </c>
      <c r="G259" t="str">
        <f>VLOOKUP(D259,[1]Proizvodi!$A$1:$F$15,2,FALSE)</f>
        <v>Nameštaj za dnevnu sobu</v>
      </c>
      <c r="H259" t="str">
        <f>VLOOKUP(D259,[1]Proizvodi!$A$1:$F$15,3,FALSE)</f>
        <v>Komoda</v>
      </c>
      <c r="I259" t="s">
        <v>435</v>
      </c>
      <c r="J259" t="str">
        <f>VLOOKUP(A259,[1]Klijenti!$A$1:$F$11,2,FALSE)</f>
        <v>Stilski Stan</v>
      </c>
      <c r="K259" t="str">
        <f>VLOOKUP(A259,[1]Klijenti!$A$1:$F$11,3,FALSE)</f>
        <v>Vojvodina i Beograd</v>
      </c>
    </row>
    <row r="260" spans="1:11">
      <c r="A260" s="5">
        <v>152</v>
      </c>
      <c r="B260" s="15">
        <v>45360</v>
      </c>
      <c r="C260" s="5">
        <v>171444</v>
      </c>
      <c r="D260" s="5" t="s">
        <v>89</v>
      </c>
      <c r="E260" s="5">
        <v>3</v>
      </c>
      <c r="F260" s="32" t="s">
        <v>392</v>
      </c>
      <c r="G260" t="str">
        <f>VLOOKUP(D260,[1]Proizvodi!$A$1:$F$15,2,FALSE)</f>
        <v>Nameštaj za dnevnu sobu</v>
      </c>
      <c r="H260" t="str">
        <f>VLOOKUP(D260,[1]Proizvodi!$A$1:$F$15,3,FALSE)</f>
        <v>Komoda</v>
      </c>
      <c r="I260" t="s">
        <v>437</v>
      </c>
      <c r="J260" t="str">
        <f>VLOOKUP(A260,[1]Klijenti!$A$1:$F$11,2,FALSE)</f>
        <v>Prostor za Uživanje</v>
      </c>
      <c r="K260" t="str">
        <f>VLOOKUP(A260,[1]Klijenti!$A$1:$F$11,3,FALSE)</f>
        <v>Srbija</v>
      </c>
    </row>
    <row r="261" spans="1:11">
      <c r="A261" s="5">
        <v>179</v>
      </c>
      <c r="B261" s="15">
        <v>45350</v>
      </c>
      <c r="C261" s="5">
        <v>243994</v>
      </c>
      <c r="D261" s="5" t="s">
        <v>75</v>
      </c>
      <c r="E261" s="5">
        <v>11</v>
      </c>
      <c r="F261" s="32" t="s">
        <v>393</v>
      </c>
      <c r="G261" t="str">
        <f>VLOOKUP(D261,[1]Proizvodi!$A$1:$F$15,2,FALSE)</f>
        <v>Trpezarija</v>
      </c>
      <c r="H261" t="str">
        <f>VLOOKUP(D261,[1]Proizvodi!$A$1:$F$15,3,FALSE)</f>
        <v>Trpezarijski sto</v>
      </c>
      <c r="I261" t="s">
        <v>436</v>
      </c>
      <c r="J261" t="str">
        <f>VLOOKUP(A261,[1]Klijenti!$A$1:$F$11,2,FALSE)</f>
        <v>Elegantni Enterijeri</v>
      </c>
      <c r="K261" t="str">
        <f>VLOOKUP(A261,[1]Klijenti!$A$1:$F$11,3,FALSE)</f>
        <v>Južni i Šumadijski region</v>
      </c>
    </row>
    <row r="262" spans="1:11">
      <c r="A262" s="5">
        <v>186</v>
      </c>
      <c r="B262" s="15">
        <v>45292</v>
      </c>
      <c r="C262" s="5">
        <v>243994</v>
      </c>
      <c r="D262" s="5" t="s">
        <v>91</v>
      </c>
      <c r="E262" s="5">
        <v>29</v>
      </c>
      <c r="F262" s="32" t="s">
        <v>394</v>
      </c>
      <c r="G262" t="str">
        <f>VLOOKUP(D262,[1]Proizvodi!$A$1:$F$15,2,FALSE)</f>
        <v>Nameštaj za radnu sobu</v>
      </c>
      <c r="H262" t="str">
        <f>VLOOKUP(D262,[1]Proizvodi!$A$1:$F$15,3,FALSE)</f>
        <v>Radni sto</v>
      </c>
      <c r="I262" t="s">
        <v>436</v>
      </c>
      <c r="J262" t="str">
        <f>VLOOKUP(A262,[1]Klijenti!$A$1:$F$11,2,FALSE)</f>
        <v>Kuća- Uređenje i Dizajn</v>
      </c>
      <c r="K262" t="str">
        <f>VLOOKUP(A262,[1]Klijenti!$A$1:$F$11,3,FALSE)</f>
        <v>Beogradski region</v>
      </c>
    </row>
    <row r="263" spans="1:11">
      <c r="A263" s="5">
        <v>186</v>
      </c>
      <c r="B263" s="15">
        <v>45300</v>
      </c>
      <c r="C263" s="5">
        <v>243994</v>
      </c>
      <c r="D263" s="5" t="s">
        <v>100</v>
      </c>
      <c r="E263" s="5">
        <v>33</v>
      </c>
      <c r="F263" s="32" t="s">
        <v>395</v>
      </c>
      <c r="G263" t="str">
        <f>VLOOKUP(D263,[1]Proizvodi!$A$1:$F$15,2,FALSE)</f>
        <v>Kuhinja</v>
      </c>
      <c r="H263" t="str">
        <f>VLOOKUP(D263,[1]Proizvodi!$A$1:$F$15,3,FALSE)</f>
        <v>Viseća polica</v>
      </c>
      <c r="I263" t="s">
        <v>436</v>
      </c>
      <c r="J263" t="str">
        <f>VLOOKUP(A263,[1]Klijenti!$A$1:$F$11,2,FALSE)</f>
        <v>Kuća- Uređenje i Dizajn</v>
      </c>
      <c r="K263" t="str">
        <f>VLOOKUP(A263,[1]Klijenti!$A$1:$F$11,3,FALSE)</f>
        <v>Beogradski region</v>
      </c>
    </row>
    <row r="264" spans="1:11">
      <c r="A264" s="5">
        <v>157</v>
      </c>
      <c r="B264" s="15">
        <v>45357</v>
      </c>
      <c r="C264" s="5">
        <v>688897</v>
      </c>
      <c r="D264" s="5" t="s">
        <v>94</v>
      </c>
      <c r="E264" s="5">
        <v>50</v>
      </c>
      <c r="F264" s="32" t="s">
        <v>396</v>
      </c>
      <c r="G264" t="str">
        <f>VLOOKUP(D264,[1]Proizvodi!$A$1:$F$15,2,FALSE)</f>
        <v>Nameštaj za dnevnu sobu</v>
      </c>
      <c r="H264" t="str">
        <f>VLOOKUP(D264,[1]Proizvodi!$A$1:$F$15,3,FALSE)</f>
        <v>Polica za knjige</v>
      </c>
      <c r="I264" t="s">
        <v>435</v>
      </c>
      <c r="J264" t="str">
        <f>VLOOKUP(A264,[1]Klijenti!$A$1:$F$11,2,FALSE)</f>
        <v>Stilski Stan</v>
      </c>
      <c r="K264" t="str">
        <f>VLOOKUP(A264,[1]Klijenti!$A$1:$F$11,3,FALSE)</f>
        <v>Vojvodina i Beograd</v>
      </c>
    </row>
    <row r="265" spans="1:11">
      <c r="A265" s="5">
        <v>152</v>
      </c>
      <c r="B265" s="15">
        <v>45363</v>
      </c>
      <c r="C265" s="5">
        <v>171444</v>
      </c>
      <c r="D265" s="5" t="s">
        <v>84</v>
      </c>
      <c r="E265" s="5">
        <v>48</v>
      </c>
      <c r="F265" s="32" t="s">
        <v>397</v>
      </c>
      <c r="G265" t="str">
        <f>VLOOKUP(D265,[1]Proizvodi!$A$1:$F$15,2,FALSE)</f>
        <v>Trpezarija</v>
      </c>
      <c r="H265" t="str">
        <f>VLOOKUP(D265,[1]Proizvodi!$A$1:$F$15,3,FALSE)</f>
        <v>Stolica za ručavanje</v>
      </c>
      <c r="I265" t="s">
        <v>437</v>
      </c>
      <c r="J265" t="str">
        <f>VLOOKUP(A265,[1]Klijenti!$A$1:$F$11,2,FALSE)</f>
        <v>Prostor za Uživanje</v>
      </c>
      <c r="K265" t="str">
        <f>VLOOKUP(A265,[1]Klijenti!$A$1:$F$11,3,FALSE)</f>
        <v>Srbija</v>
      </c>
    </row>
    <row r="266" spans="1:11">
      <c r="A266" s="5">
        <v>179</v>
      </c>
      <c r="B266" s="15">
        <v>45308</v>
      </c>
      <c r="C266" s="5">
        <v>243994</v>
      </c>
      <c r="D266" s="5" t="s">
        <v>89</v>
      </c>
      <c r="E266" s="5">
        <v>5</v>
      </c>
      <c r="F266" s="32" t="s">
        <v>398</v>
      </c>
      <c r="G266" t="str">
        <f>VLOOKUP(D266,[1]Proizvodi!$A$1:$F$15,2,FALSE)</f>
        <v>Nameštaj za dnevnu sobu</v>
      </c>
      <c r="H266" t="str">
        <f>VLOOKUP(D266,[1]Proizvodi!$A$1:$F$15,3,FALSE)</f>
        <v>Komoda</v>
      </c>
      <c r="I266" t="s">
        <v>436</v>
      </c>
      <c r="J266" t="str">
        <f>VLOOKUP(A266,[1]Klijenti!$A$1:$F$11,2,FALSE)</f>
        <v>Elegantni Enterijeri</v>
      </c>
      <c r="K266" t="str">
        <f>VLOOKUP(A266,[1]Klijenti!$A$1:$F$11,3,FALSE)</f>
        <v>Južni i Šumadijski region</v>
      </c>
    </row>
    <row r="267" spans="1:11">
      <c r="A267" s="5">
        <v>151</v>
      </c>
      <c r="B267" s="15">
        <v>45341</v>
      </c>
      <c r="C267" s="5">
        <v>443480</v>
      </c>
      <c r="D267" s="5" t="s">
        <v>94</v>
      </c>
      <c r="E267" s="5">
        <v>39</v>
      </c>
      <c r="F267" s="32" t="s">
        <v>399</v>
      </c>
      <c r="G267" t="str">
        <f>VLOOKUP(D267,[1]Proizvodi!$A$1:$F$15,2,FALSE)</f>
        <v>Nameštaj za dnevnu sobu</v>
      </c>
      <c r="H267" t="str">
        <f>VLOOKUP(D267,[1]Proizvodi!$A$1:$F$15,3,FALSE)</f>
        <v>Polica za knjige</v>
      </c>
      <c r="I267" t="s">
        <v>434</v>
      </c>
      <c r="J267" t="str">
        <f>VLOOKUP(A267,[1]Klijenti!$A$1:$F$11,2,FALSE)</f>
        <v>Estetski Kutak</v>
      </c>
      <c r="K267" t="str">
        <f>VLOOKUP(A267,[1]Klijenti!$A$1:$F$11,3,FALSE)</f>
        <v>Srbija</v>
      </c>
    </row>
    <row r="268" spans="1:11">
      <c r="A268" s="5">
        <v>127</v>
      </c>
      <c r="B268" s="15">
        <v>45311</v>
      </c>
      <c r="C268" s="5">
        <v>171444</v>
      </c>
      <c r="D268" s="5" t="s">
        <v>100</v>
      </c>
      <c r="E268" s="5">
        <v>41</v>
      </c>
      <c r="F268" s="32" t="s">
        <v>400</v>
      </c>
      <c r="G268" t="str">
        <f>VLOOKUP(D268,[1]Proizvodi!$A$1:$F$15,2,FALSE)</f>
        <v>Kuhinja</v>
      </c>
      <c r="H268" t="str">
        <f>VLOOKUP(D268,[1]Proizvodi!$A$1:$F$15,3,FALSE)</f>
        <v>Viseća polica</v>
      </c>
      <c r="I268" t="s">
        <v>437</v>
      </c>
      <c r="J268" t="str">
        <f>VLOOKUP(A268,[1]Klijenti!$A$1:$F$11,2,FALSE)</f>
        <v>Luksuzni Dizajn</v>
      </c>
      <c r="K268" t="str">
        <f>VLOOKUP(A268,[1]Klijenti!$A$1:$F$11,3,FALSE)</f>
        <v>Vojvodina</v>
      </c>
    </row>
    <row r="269" spans="1:11">
      <c r="A269" s="5">
        <v>127</v>
      </c>
      <c r="B269" s="15">
        <v>45309</v>
      </c>
      <c r="C269" s="5">
        <v>171444</v>
      </c>
      <c r="D269" s="5" t="s">
        <v>86</v>
      </c>
      <c r="E269" s="5">
        <v>39</v>
      </c>
      <c r="F269" s="32" t="s">
        <v>401</v>
      </c>
      <c r="G269" t="str">
        <f>VLOOKUP(D269,[1]Proizvodi!$A$1:$F$15,2,FALSE)</f>
        <v>Nameštaj za spavaću sobu</v>
      </c>
      <c r="H269" t="str">
        <f>VLOOKUP(D269,[1]Proizvodi!$A$1:$F$15,3,FALSE)</f>
        <v>Noćni ormarić</v>
      </c>
      <c r="I269" t="s">
        <v>437</v>
      </c>
      <c r="J269" t="str">
        <f>VLOOKUP(A269,[1]Klijenti!$A$1:$F$11,2,FALSE)</f>
        <v>Luksuzni Dizajn</v>
      </c>
      <c r="K269" t="str">
        <f>VLOOKUP(A269,[1]Klijenti!$A$1:$F$11,3,FALSE)</f>
        <v>Vojvodina</v>
      </c>
    </row>
    <row r="270" spans="1:11">
      <c r="A270" s="5">
        <v>157</v>
      </c>
      <c r="B270" s="15">
        <v>45342</v>
      </c>
      <c r="C270" s="5">
        <v>688897</v>
      </c>
      <c r="D270" s="5" t="s">
        <v>98</v>
      </c>
      <c r="E270" s="5">
        <v>5</v>
      </c>
      <c r="F270" s="32" t="s">
        <v>402</v>
      </c>
      <c r="G270" t="str">
        <f>VLOOKUP(D270,[1]Proizvodi!$A$1:$F$15,2,FALSE)</f>
        <v>Nameštaj za dnevnu sobu</v>
      </c>
      <c r="H270" t="str">
        <f>VLOOKUP(D270,[1]Proizvodi!$A$1:$F$15,3,FALSE)</f>
        <v>Tabure</v>
      </c>
      <c r="I270" t="s">
        <v>435</v>
      </c>
      <c r="J270" t="str">
        <f>VLOOKUP(A270,[1]Klijenti!$A$1:$F$11,2,FALSE)</f>
        <v>Stilski Stan</v>
      </c>
      <c r="K270" t="str">
        <f>VLOOKUP(A270,[1]Klijenti!$A$1:$F$11,3,FALSE)</f>
        <v>Vojvodina i Beograd</v>
      </c>
    </row>
    <row r="271" spans="1:11">
      <c r="A271" s="5">
        <v>179</v>
      </c>
      <c r="B271" s="15">
        <v>45329</v>
      </c>
      <c r="C271" s="5">
        <v>243994</v>
      </c>
      <c r="D271" s="5" t="s">
        <v>84</v>
      </c>
      <c r="E271" s="5">
        <v>40</v>
      </c>
      <c r="F271" s="32" t="s">
        <v>403</v>
      </c>
      <c r="G271" t="str">
        <f>VLOOKUP(D271,[1]Proizvodi!$A$1:$F$15,2,FALSE)</f>
        <v>Trpezarija</v>
      </c>
      <c r="H271" t="str">
        <f>VLOOKUP(D271,[1]Proizvodi!$A$1:$F$15,3,FALSE)</f>
        <v>Stolica za ručavanje</v>
      </c>
      <c r="I271" t="s">
        <v>436</v>
      </c>
      <c r="J271" t="str">
        <f>VLOOKUP(A271,[1]Klijenti!$A$1:$F$11,2,FALSE)</f>
        <v>Elegantni Enterijeri</v>
      </c>
      <c r="K271" t="str">
        <f>VLOOKUP(A271,[1]Klijenti!$A$1:$F$11,3,FALSE)</f>
        <v>Južni i Šumadijski region</v>
      </c>
    </row>
    <row r="272" spans="1:11">
      <c r="A272" s="5">
        <v>151</v>
      </c>
      <c r="B272" s="15">
        <v>45338</v>
      </c>
      <c r="C272" s="5">
        <v>443480</v>
      </c>
      <c r="D272" s="5" t="s">
        <v>80</v>
      </c>
      <c r="E272" s="5">
        <v>12</v>
      </c>
      <c r="F272" s="32" t="s">
        <v>404</v>
      </c>
      <c r="G272" t="str">
        <f>VLOOKUP(D272,[1]Proizvodi!$A$1:$F$15,2,FALSE)</f>
        <v>Nameštaj za dnevnu sobu</v>
      </c>
      <c r="H272" t="str">
        <f>VLOOKUP(D272,[1]Proizvodi!$A$1:$F$15,3,FALSE)</f>
        <v>Ormarić za TV</v>
      </c>
      <c r="I272" t="s">
        <v>434</v>
      </c>
      <c r="J272" t="str">
        <f>VLOOKUP(A272,[1]Klijenti!$A$1:$F$11,2,FALSE)</f>
        <v>Estetski Kutak</v>
      </c>
      <c r="K272" t="str">
        <f>VLOOKUP(A272,[1]Klijenti!$A$1:$F$11,3,FALSE)</f>
        <v>Srbija</v>
      </c>
    </row>
    <row r="273" spans="1:11">
      <c r="A273" s="5">
        <v>108</v>
      </c>
      <c r="B273" s="15">
        <v>45353</v>
      </c>
      <c r="C273" s="5">
        <v>466126</v>
      </c>
      <c r="D273" s="5" t="s">
        <v>91</v>
      </c>
      <c r="E273" s="5">
        <v>10</v>
      </c>
      <c r="F273" s="32" t="s">
        <v>405</v>
      </c>
      <c r="G273" t="str">
        <f>VLOOKUP(D273,[1]Proizvodi!$A$1:$F$15,2,FALSE)</f>
        <v>Nameštaj za radnu sobu</v>
      </c>
      <c r="H273" t="str">
        <f>VLOOKUP(D273,[1]Proizvodi!$A$1:$F$15,3,FALSE)</f>
        <v>Radni sto</v>
      </c>
      <c r="I273" t="s">
        <v>433</v>
      </c>
      <c r="J273" t="str">
        <f>VLOOKUP(A273,[1]Klijenti!$A$1:$F$11,2,FALSE)</f>
        <v>Dom &amp; Dekor</v>
      </c>
      <c r="K273" t="str">
        <f>VLOOKUP(A273,[1]Klijenti!$A$1:$F$11,3,FALSE)</f>
        <v>Beogradski region</v>
      </c>
    </row>
    <row r="274" spans="1:11">
      <c r="A274" s="5">
        <v>108</v>
      </c>
      <c r="B274" s="15">
        <v>45295</v>
      </c>
      <c r="C274" s="5">
        <v>466126</v>
      </c>
      <c r="D274" s="5" t="s">
        <v>82</v>
      </c>
      <c r="E274" s="5">
        <v>39</v>
      </c>
      <c r="F274" s="32" t="s">
        <v>406</v>
      </c>
      <c r="G274" t="str">
        <f>VLOOKUP(D274,[1]Proizvodi!$A$1:$F$15,2,FALSE)</f>
        <v>Nameštaj za dnevnu sobu</v>
      </c>
      <c r="H274" t="str">
        <f>VLOOKUP(D274,[1]Proizvodi!$A$1:$F$15,3,FALSE)</f>
        <v>Sofa</v>
      </c>
      <c r="I274" t="s">
        <v>433</v>
      </c>
      <c r="J274" t="str">
        <f>VLOOKUP(A274,[1]Klijenti!$A$1:$F$11,2,FALSE)</f>
        <v>Dom &amp; Dekor</v>
      </c>
      <c r="K274" t="str">
        <f>VLOOKUP(A274,[1]Klijenti!$A$1:$F$11,3,FALSE)</f>
        <v>Beogradski region</v>
      </c>
    </row>
    <row r="275" spans="1:11">
      <c r="A275" s="5">
        <v>163</v>
      </c>
      <c r="B275" s="15">
        <v>45344</v>
      </c>
      <c r="C275" s="5">
        <v>443480</v>
      </c>
      <c r="D275" s="5" t="s">
        <v>100</v>
      </c>
      <c r="E275" s="5">
        <v>14</v>
      </c>
      <c r="F275" s="32" t="s">
        <v>407</v>
      </c>
      <c r="G275" t="str">
        <f>VLOOKUP(D275,[1]Proizvodi!$A$1:$F$15,2,FALSE)</f>
        <v>Kuhinja</v>
      </c>
      <c r="H275" t="str">
        <f>VLOOKUP(D275,[1]Proizvodi!$A$1:$F$15,3,FALSE)</f>
        <v>Viseća polica</v>
      </c>
      <c r="I275" t="s">
        <v>434</v>
      </c>
      <c r="J275" t="str">
        <f>VLOOKUP(A275,[1]Klijenti!$A$1:$F$11,2,FALSE)</f>
        <v>Sofistikacija Doma</v>
      </c>
      <c r="K275" t="str">
        <f>VLOOKUP(A275,[1]Klijenti!$A$1:$F$11,3,FALSE)</f>
        <v>Šumadija</v>
      </c>
    </row>
    <row r="276" spans="1:11">
      <c r="A276" s="5">
        <v>127</v>
      </c>
      <c r="B276" s="15">
        <v>45330</v>
      </c>
      <c r="C276" s="5">
        <v>171444</v>
      </c>
      <c r="D276" s="5" t="s">
        <v>96</v>
      </c>
      <c r="E276" s="5">
        <v>42</v>
      </c>
      <c r="F276" s="32" t="s">
        <v>408</v>
      </c>
      <c r="G276" t="str">
        <f>VLOOKUP(D276,[1]Proizvodi!$A$1:$F$15,2,FALSE)</f>
        <v>Nameštaj za dnevnu sobu</v>
      </c>
      <c r="H276" t="str">
        <f>VLOOKUP(D276,[1]Proizvodi!$A$1:$F$15,3,FALSE)</f>
        <v>Ogledalo za zid</v>
      </c>
      <c r="I276" t="s">
        <v>437</v>
      </c>
      <c r="J276" t="str">
        <f>VLOOKUP(A276,[1]Klijenti!$A$1:$F$11,2,FALSE)</f>
        <v>Luksuzni Dizajn</v>
      </c>
      <c r="K276" t="str">
        <f>VLOOKUP(A276,[1]Klijenti!$A$1:$F$11,3,FALSE)</f>
        <v>Vojvodina</v>
      </c>
    </row>
    <row r="277" spans="1:11">
      <c r="A277" s="5">
        <v>195</v>
      </c>
      <c r="B277" s="15">
        <v>45331</v>
      </c>
      <c r="C277" s="5">
        <v>466126</v>
      </c>
      <c r="D277" s="5" t="s">
        <v>75</v>
      </c>
      <c r="E277" s="5">
        <v>9</v>
      </c>
      <c r="F277" s="32" t="s">
        <v>409</v>
      </c>
      <c r="G277" t="str">
        <f>VLOOKUP(D277,[1]Proizvodi!$A$1:$F$15,2,FALSE)</f>
        <v>Trpezarija</v>
      </c>
      <c r="H277" t="str">
        <f>VLOOKUP(D277,[1]Proizvodi!$A$1:$F$15,3,FALSE)</f>
        <v>Trpezarijski sto</v>
      </c>
      <c r="I277" t="s">
        <v>433</v>
      </c>
      <c r="J277" t="str">
        <f>VLOOKUP(A277,[1]Klijenti!$A$1:$F$11,2,FALSE)</f>
        <v>Moderni Dom</v>
      </c>
      <c r="K277" t="str">
        <f>VLOOKUP(A277,[1]Klijenti!$A$1:$F$11,3,FALSE)</f>
        <v>Srbija</v>
      </c>
    </row>
    <row r="278" spans="1:11">
      <c r="A278" s="5">
        <v>108</v>
      </c>
      <c r="B278" s="15">
        <v>45339</v>
      </c>
      <c r="C278" s="5">
        <v>466126</v>
      </c>
      <c r="D278" s="5" t="s">
        <v>100</v>
      </c>
      <c r="E278" s="5">
        <v>3</v>
      </c>
      <c r="F278" s="32" t="s">
        <v>410</v>
      </c>
      <c r="G278" t="str">
        <f>VLOOKUP(D278,[1]Proizvodi!$A$1:$F$15,2,FALSE)</f>
        <v>Kuhinja</v>
      </c>
      <c r="H278" t="str">
        <f>VLOOKUP(D278,[1]Proizvodi!$A$1:$F$15,3,FALSE)</f>
        <v>Viseća polica</v>
      </c>
      <c r="I278" t="s">
        <v>433</v>
      </c>
      <c r="J278" t="str">
        <f>VLOOKUP(A278,[1]Klijenti!$A$1:$F$11,2,FALSE)</f>
        <v>Dom &amp; Dekor</v>
      </c>
      <c r="K278" t="str">
        <f>VLOOKUP(A278,[1]Klijenti!$A$1:$F$11,3,FALSE)</f>
        <v>Beogradski region</v>
      </c>
    </row>
    <row r="279" spans="1:11">
      <c r="A279" s="5">
        <v>127</v>
      </c>
      <c r="B279" s="15">
        <v>45316</v>
      </c>
      <c r="C279" s="5">
        <v>171444</v>
      </c>
      <c r="D279" s="5" t="s">
        <v>82</v>
      </c>
      <c r="E279" s="5">
        <v>48</v>
      </c>
      <c r="F279" s="32" t="s">
        <v>411</v>
      </c>
      <c r="G279" t="str">
        <f>VLOOKUP(D279,[1]Proizvodi!$A$1:$F$15,2,FALSE)</f>
        <v>Nameštaj za dnevnu sobu</v>
      </c>
      <c r="H279" t="str">
        <f>VLOOKUP(D279,[1]Proizvodi!$A$1:$F$15,3,FALSE)</f>
        <v>Sofa</v>
      </c>
      <c r="I279" t="s">
        <v>437</v>
      </c>
      <c r="J279" t="str">
        <f>VLOOKUP(A279,[1]Klijenti!$A$1:$F$11,2,FALSE)</f>
        <v>Luksuzni Dizajn</v>
      </c>
      <c r="K279" t="str">
        <f>VLOOKUP(A279,[1]Klijenti!$A$1:$F$11,3,FALSE)</f>
        <v>Vojvodina</v>
      </c>
    </row>
    <row r="280" spans="1:11">
      <c r="A280" s="5">
        <v>186</v>
      </c>
      <c r="B280" s="15">
        <v>45356</v>
      </c>
      <c r="C280" s="5">
        <v>243994</v>
      </c>
      <c r="D280" s="5" t="s">
        <v>100</v>
      </c>
      <c r="E280" s="5">
        <v>46</v>
      </c>
      <c r="F280" s="32" t="s">
        <v>412</v>
      </c>
      <c r="G280" t="str">
        <f>VLOOKUP(D280,[1]Proizvodi!$A$1:$F$15,2,FALSE)</f>
        <v>Kuhinja</v>
      </c>
      <c r="H280" t="str">
        <f>VLOOKUP(D280,[1]Proizvodi!$A$1:$F$15,3,FALSE)</f>
        <v>Viseća polica</v>
      </c>
      <c r="I280" t="s">
        <v>436</v>
      </c>
      <c r="J280" t="str">
        <f>VLOOKUP(A280,[1]Klijenti!$A$1:$F$11,2,FALSE)</f>
        <v>Kuća- Uređenje i Dizajn</v>
      </c>
      <c r="K280" t="str">
        <f>VLOOKUP(A280,[1]Klijenti!$A$1:$F$11,3,FALSE)</f>
        <v>Beogradski region</v>
      </c>
    </row>
    <row r="281" spans="1:11">
      <c r="A281" s="5">
        <v>163</v>
      </c>
      <c r="B281" s="15">
        <v>45297</v>
      </c>
      <c r="C281" s="5">
        <v>443480</v>
      </c>
      <c r="D281" s="5" t="s">
        <v>82</v>
      </c>
      <c r="E281" s="5">
        <v>34</v>
      </c>
      <c r="F281" s="32" t="s">
        <v>413</v>
      </c>
      <c r="G281" t="str">
        <f>VLOOKUP(D281,[1]Proizvodi!$A$1:$F$15,2,FALSE)</f>
        <v>Nameštaj za dnevnu sobu</v>
      </c>
      <c r="H281" t="str">
        <f>VLOOKUP(D281,[1]Proizvodi!$A$1:$F$15,3,FALSE)</f>
        <v>Sofa</v>
      </c>
      <c r="I281" t="s">
        <v>434</v>
      </c>
      <c r="J281" t="str">
        <f>VLOOKUP(A281,[1]Klijenti!$A$1:$F$11,2,FALSE)</f>
        <v>Sofistikacija Doma</v>
      </c>
      <c r="K281" t="str">
        <f>VLOOKUP(A281,[1]Klijenti!$A$1:$F$11,3,FALSE)</f>
        <v>Šumadija</v>
      </c>
    </row>
    <row r="282" spans="1:11">
      <c r="A282" s="5">
        <v>186</v>
      </c>
      <c r="B282" s="15">
        <v>45338</v>
      </c>
      <c r="C282" s="5">
        <v>243994</v>
      </c>
      <c r="D282" s="5" t="s">
        <v>91</v>
      </c>
      <c r="E282" s="5">
        <v>33</v>
      </c>
      <c r="F282" s="32" t="s">
        <v>414</v>
      </c>
      <c r="G282" t="str">
        <f>VLOOKUP(D282,[1]Proizvodi!$A$1:$F$15,2,FALSE)</f>
        <v>Nameštaj za radnu sobu</v>
      </c>
      <c r="H282" t="str">
        <f>VLOOKUP(D282,[1]Proizvodi!$A$1:$F$15,3,FALSE)</f>
        <v>Radni sto</v>
      </c>
      <c r="I282" t="s">
        <v>436</v>
      </c>
      <c r="J282" t="str">
        <f>VLOOKUP(A282,[1]Klijenti!$A$1:$F$11,2,FALSE)</f>
        <v>Kuća- Uređenje i Dizajn</v>
      </c>
      <c r="K282" t="str">
        <f>VLOOKUP(A282,[1]Klijenti!$A$1:$F$11,3,FALSE)</f>
        <v>Beogradski region</v>
      </c>
    </row>
    <row r="283" spans="1:11">
      <c r="A283" s="5">
        <v>195</v>
      </c>
      <c r="B283" s="15">
        <v>45361</v>
      </c>
      <c r="C283" s="5">
        <v>466126</v>
      </c>
      <c r="D283" s="5" t="s">
        <v>80</v>
      </c>
      <c r="E283" s="5">
        <v>12</v>
      </c>
      <c r="F283" s="32" t="s">
        <v>415</v>
      </c>
      <c r="G283" t="str">
        <f>VLOOKUP(D283,[1]Proizvodi!$A$1:$F$15,2,FALSE)</f>
        <v>Nameštaj za dnevnu sobu</v>
      </c>
      <c r="H283" t="str">
        <f>VLOOKUP(D283,[1]Proizvodi!$A$1:$F$15,3,FALSE)</f>
        <v>Ormarić za TV</v>
      </c>
      <c r="I283" t="s">
        <v>433</v>
      </c>
      <c r="J283" t="str">
        <f>VLOOKUP(A283,[1]Klijenti!$A$1:$F$11,2,FALSE)</f>
        <v>Moderni Dom</v>
      </c>
      <c r="K283" t="str">
        <f>VLOOKUP(A283,[1]Klijenti!$A$1:$F$11,3,FALSE)</f>
        <v>Srbija</v>
      </c>
    </row>
    <row r="284" spans="1:11">
      <c r="A284" s="5">
        <v>179</v>
      </c>
      <c r="B284" s="15">
        <v>45308</v>
      </c>
      <c r="C284" s="5">
        <v>243994</v>
      </c>
      <c r="D284" s="5" t="s">
        <v>103</v>
      </c>
      <c r="E284" s="5">
        <v>6</v>
      </c>
      <c r="F284" s="32" t="s">
        <v>416</v>
      </c>
      <c r="G284" t="str">
        <f>VLOOKUP(D284,[1]Proizvodi!$A$1:$F$15,2,FALSE)</f>
        <v>Kuhinja</v>
      </c>
      <c r="H284" t="str">
        <f>VLOOKUP(D284,[1]Proizvodi!$A$1:$F$15,3,FALSE)</f>
        <v>Kuhinjsko ostrvo</v>
      </c>
      <c r="I284" t="s">
        <v>436</v>
      </c>
      <c r="J284" t="str">
        <f>VLOOKUP(A284,[1]Klijenti!$A$1:$F$11,2,FALSE)</f>
        <v>Elegantni Enterijeri</v>
      </c>
      <c r="K284" t="str">
        <f>VLOOKUP(A284,[1]Klijenti!$A$1:$F$11,3,FALSE)</f>
        <v>Južni i Šumadijski region</v>
      </c>
    </row>
    <row r="285" spans="1:11">
      <c r="A285" s="5">
        <v>163</v>
      </c>
      <c r="B285" s="15">
        <v>45334</v>
      </c>
      <c r="C285" s="5">
        <v>443480</v>
      </c>
      <c r="D285" s="5" t="s">
        <v>100</v>
      </c>
      <c r="E285" s="5">
        <v>40</v>
      </c>
      <c r="F285" s="32" t="s">
        <v>417</v>
      </c>
      <c r="G285" t="str">
        <f>VLOOKUP(D285,[1]Proizvodi!$A$1:$F$15,2,FALSE)</f>
        <v>Kuhinja</v>
      </c>
      <c r="H285" t="str">
        <f>VLOOKUP(D285,[1]Proizvodi!$A$1:$F$15,3,FALSE)</f>
        <v>Viseća polica</v>
      </c>
      <c r="I285" t="s">
        <v>434</v>
      </c>
      <c r="J285" t="str">
        <f>VLOOKUP(A285,[1]Klijenti!$A$1:$F$11,2,FALSE)</f>
        <v>Sofistikacija Doma</v>
      </c>
      <c r="K285" t="str">
        <f>VLOOKUP(A285,[1]Klijenti!$A$1:$F$11,3,FALSE)</f>
        <v>Šumadija</v>
      </c>
    </row>
    <row r="286" spans="1:11">
      <c r="A286" s="5">
        <v>163</v>
      </c>
      <c r="B286" s="15">
        <v>45319</v>
      </c>
      <c r="C286" s="5">
        <v>443480</v>
      </c>
      <c r="D286" s="5" t="s">
        <v>86</v>
      </c>
      <c r="E286" s="5">
        <v>5</v>
      </c>
      <c r="F286" s="32" t="s">
        <v>418</v>
      </c>
      <c r="G286" t="str">
        <f>VLOOKUP(D286,[1]Proizvodi!$A$1:$F$15,2,FALSE)</f>
        <v>Nameštaj za spavaću sobu</v>
      </c>
      <c r="H286" t="str">
        <f>VLOOKUP(D286,[1]Proizvodi!$A$1:$F$15,3,FALSE)</f>
        <v>Noćni ormarić</v>
      </c>
      <c r="I286" t="s">
        <v>434</v>
      </c>
      <c r="J286" t="str">
        <f>VLOOKUP(A286,[1]Klijenti!$A$1:$F$11,2,FALSE)</f>
        <v>Sofistikacija Doma</v>
      </c>
      <c r="K286" t="str">
        <f>VLOOKUP(A286,[1]Klijenti!$A$1:$F$11,3,FALSE)</f>
        <v>Šumadija</v>
      </c>
    </row>
    <row r="287" spans="1:11">
      <c r="A287" s="5">
        <v>179</v>
      </c>
      <c r="B287" s="15">
        <v>45359</v>
      </c>
      <c r="C287" s="5">
        <v>243994</v>
      </c>
      <c r="D287" s="5" t="s">
        <v>84</v>
      </c>
      <c r="E287" s="5">
        <v>13</v>
      </c>
      <c r="F287" s="32" t="s">
        <v>419</v>
      </c>
      <c r="G287" t="str">
        <f>VLOOKUP(D287,[1]Proizvodi!$A$1:$F$15,2,FALSE)</f>
        <v>Trpezarija</v>
      </c>
      <c r="H287" t="str">
        <f>VLOOKUP(D287,[1]Proizvodi!$A$1:$F$15,3,FALSE)</f>
        <v>Stolica za ručavanje</v>
      </c>
      <c r="I287" t="s">
        <v>436</v>
      </c>
      <c r="J287" t="str">
        <f>VLOOKUP(A287,[1]Klijenti!$A$1:$F$11,2,FALSE)</f>
        <v>Elegantni Enterijeri</v>
      </c>
      <c r="K287" t="str">
        <f>VLOOKUP(A287,[1]Klijenti!$A$1:$F$11,3,FALSE)</f>
        <v>Južni i Šumadijski region</v>
      </c>
    </row>
    <row r="288" spans="1:11">
      <c r="A288" s="5">
        <v>186</v>
      </c>
      <c r="B288" s="15">
        <v>45303</v>
      </c>
      <c r="C288" s="5">
        <v>171444</v>
      </c>
      <c r="D288" s="5" t="s">
        <v>96</v>
      </c>
      <c r="E288" s="5">
        <v>42</v>
      </c>
      <c r="F288" s="32" t="s">
        <v>420</v>
      </c>
      <c r="G288" t="str">
        <f>VLOOKUP(D288,[1]Proizvodi!$A$1:$F$15,2,FALSE)</f>
        <v>Nameštaj za dnevnu sobu</v>
      </c>
      <c r="H288" t="str">
        <f>VLOOKUP(D288,[1]Proizvodi!$A$1:$F$15,3,FALSE)</f>
        <v>Ogledalo za zid</v>
      </c>
      <c r="I288" t="s">
        <v>437</v>
      </c>
      <c r="J288" t="str">
        <f>VLOOKUP(A288,[1]Klijenti!$A$1:$F$11,2,FALSE)</f>
        <v>Kuća- Uređenje i Dizajn</v>
      </c>
      <c r="K288" t="str">
        <f>VLOOKUP(A288,[1]Klijenti!$A$1:$F$11,3,FALSE)</f>
        <v>Beogradski region</v>
      </c>
    </row>
    <row r="289" spans="1:11">
      <c r="A289" s="5">
        <v>152</v>
      </c>
      <c r="B289" s="15">
        <v>45373</v>
      </c>
      <c r="C289" s="5">
        <v>171444</v>
      </c>
      <c r="D289" s="5" t="s">
        <v>84</v>
      </c>
      <c r="E289" s="5">
        <v>45</v>
      </c>
      <c r="F289" s="32" t="s">
        <v>421</v>
      </c>
      <c r="G289" t="str">
        <f>VLOOKUP(D289,[1]Proizvodi!$A$1:$F$15,2,FALSE)</f>
        <v>Trpezarija</v>
      </c>
      <c r="H289" t="str">
        <f>VLOOKUP(D289,[1]Proizvodi!$A$1:$F$15,3,FALSE)</f>
        <v>Stolica za ručavanje</v>
      </c>
      <c r="I289" t="s">
        <v>437</v>
      </c>
      <c r="J289" t="str">
        <f>VLOOKUP(A289,[1]Klijenti!$A$1:$F$11,2,FALSE)</f>
        <v>Prostor za Uživanje</v>
      </c>
      <c r="K289" t="str">
        <f>VLOOKUP(A289,[1]Klijenti!$A$1:$F$11,3,FALSE)</f>
        <v>Srbija</v>
      </c>
    </row>
    <row r="290" spans="1:11">
      <c r="A290" s="5">
        <v>153</v>
      </c>
      <c r="B290" s="15">
        <v>45352</v>
      </c>
      <c r="C290" s="5">
        <v>688897</v>
      </c>
      <c r="D290" s="5" t="s">
        <v>91</v>
      </c>
      <c r="E290" s="5">
        <v>48</v>
      </c>
      <c r="F290" s="32" t="s">
        <v>422</v>
      </c>
      <c r="G290" t="str">
        <f>VLOOKUP(D290,[1]Proizvodi!$A$1:$F$15,2,FALSE)</f>
        <v>Nameštaj za radnu sobu</v>
      </c>
      <c r="H290" t="str">
        <f>VLOOKUP(D290,[1]Proizvodi!$A$1:$F$15,3,FALSE)</f>
        <v>Radni sto</v>
      </c>
      <c r="I290" t="s">
        <v>435</v>
      </c>
      <c r="J290" t="str">
        <f>VLOOKUP(A290,[1]Klijenti!$A$1:$F$11,2,FALSE)</f>
        <v>Udobni Kutak</v>
      </c>
      <c r="K290" t="str">
        <f>VLOOKUP(A290,[1]Klijenti!$A$1:$F$11,3,FALSE)</f>
        <v>Južni region</v>
      </c>
    </row>
    <row r="291" spans="1:11">
      <c r="A291" s="5">
        <v>195</v>
      </c>
      <c r="B291" s="15">
        <v>45295</v>
      </c>
      <c r="C291" s="5">
        <v>466126</v>
      </c>
      <c r="D291" s="5" t="s">
        <v>103</v>
      </c>
      <c r="E291" s="5">
        <v>12</v>
      </c>
      <c r="F291" s="32" t="s">
        <v>423</v>
      </c>
      <c r="G291" t="str">
        <f>VLOOKUP(D291,[1]Proizvodi!$A$1:$F$15,2,FALSE)</f>
        <v>Kuhinja</v>
      </c>
      <c r="H291" t="str">
        <f>VLOOKUP(D291,[1]Proizvodi!$A$1:$F$15,3,FALSE)</f>
        <v>Kuhinjsko ostrvo</v>
      </c>
      <c r="I291" t="s">
        <v>433</v>
      </c>
      <c r="J291" t="str">
        <f>VLOOKUP(A291,[1]Klijenti!$A$1:$F$11,2,FALSE)</f>
        <v>Moderni Dom</v>
      </c>
      <c r="K291" t="str">
        <f>VLOOKUP(A291,[1]Klijenti!$A$1:$F$11,3,FALSE)</f>
        <v>Srbija</v>
      </c>
    </row>
    <row r="292" spans="1:11">
      <c r="A292" s="5">
        <v>195</v>
      </c>
      <c r="B292" s="15">
        <v>45317</v>
      </c>
      <c r="C292" s="5">
        <v>466126</v>
      </c>
      <c r="D292" s="5" t="s">
        <v>89</v>
      </c>
      <c r="E292" s="5">
        <v>48</v>
      </c>
      <c r="F292" s="32" t="s">
        <v>424</v>
      </c>
      <c r="G292" t="str">
        <f>VLOOKUP(D292,[1]Proizvodi!$A$1:$F$15,2,FALSE)</f>
        <v>Nameštaj za dnevnu sobu</v>
      </c>
      <c r="H292" t="str">
        <f>VLOOKUP(D292,[1]Proizvodi!$A$1:$F$15,3,FALSE)</f>
        <v>Komoda</v>
      </c>
      <c r="I292" t="s">
        <v>433</v>
      </c>
      <c r="J292" t="str">
        <f>VLOOKUP(A292,[1]Klijenti!$A$1:$F$11,2,FALSE)</f>
        <v>Moderni Dom</v>
      </c>
      <c r="K292" t="str">
        <f>VLOOKUP(A292,[1]Klijenti!$A$1:$F$11,3,FALSE)</f>
        <v>Srbija</v>
      </c>
    </row>
    <row r="293" spans="1:11">
      <c r="A293" s="5">
        <v>163</v>
      </c>
      <c r="B293" s="15">
        <v>45345</v>
      </c>
      <c r="C293" s="5">
        <v>443480</v>
      </c>
      <c r="D293" s="5" t="s">
        <v>96</v>
      </c>
      <c r="E293" s="5">
        <v>39</v>
      </c>
      <c r="F293" s="32" t="s">
        <v>425</v>
      </c>
      <c r="G293" t="str">
        <f>VLOOKUP(D293,[1]Proizvodi!$A$1:$F$15,2,FALSE)</f>
        <v>Nameštaj za dnevnu sobu</v>
      </c>
      <c r="H293" t="str">
        <f>VLOOKUP(D293,[1]Proizvodi!$A$1:$F$15,3,FALSE)</f>
        <v>Ogledalo za zid</v>
      </c>
      <c r="I293" t="s">
        <v>434</v>
      </c>
      <c r="J293" t="str">
        <f>VLOOKUP(A293,[1]Klijenti!$A$1:$F$11,2,FALSE)</f>
        <v>Sofistikacija Doma</v>
      </c>
      <c r="K293" t="str">
        <f>VLOOKUP(A293,[1]Klijenti!$A$1:$F$11,3,FALSE)</f>
        <v>Šumadija</v>
      </c>
    </row>
    <row r="294" spans="1:11">
      <c r="A294" s="5">
        <v>186</v>
      </c>
      <c r="B294" s="15">
        <v>45336</v>
      </c>
      <c r="C294" s="5">
        <v>243994</v>
      </c>
      <c r="D294" s="5" t="s">
        <v>91</v>
      </c>
      <c r="E294" s="5">
        <v>49</v>
      </c>
      <c r="F294" s="32" t="s">
        <v>426</v>
      </c>
      <c r="G294" t="str">
        <f>VLOOKUP(D294,[1]Proizvodi!$A$1:$F$15,2,FALSE)</f>
        <v>Nameštaj za radnu sobu</v>
      </c>
      <c r="H294" t="str">
        <f>VLOOKUP(D294,[1]Proizvodi!$A$1:$F$15,3,FALSE)</f>
        <v>Radni sto</v>
      </c>
      <c r="I294" t="s">
        <v>436</v>
      </c>
      <c r="J294" t="str">
        <f>VLOOKUP(A294,[1]Klijenti!$A$1:$F$11,2,FALSE)</f>
        <v>Kuća- Uređenje i Dizajn</v>
      </c>
      <c r="K294" t="str">
        <f>VLOOKUP(A294,[1]Klijenti!$A$1:$F$11,3,FALSE)</f>
        <v>Beogradski region</v>
      </c>
    </row>
    <row r="295" spans="1:11">
      <c r="A295" s="5">
        <v>108</v>
      </c>
      <c r="B295" s="15">
        <v>45339</v>
      </c>
      <c r="C295" s="5">
        <v>466126</v>
      </c>
      <c r="D295" s="5" t="s">
        <v>96</v>
      </c>
      <c r="E295" s="5">
        <v>29</v>
      </c>
      <c r="F295" s="32" t="s">
        <v>427</v>
      </c>
      <c r="G295" t="str">
        <f>VLOOKUP(D295,[1]Proizvodi!$A$1:$F$15,2,FALSE)</f>
        <v>Nameštaj za dnevnu sobu</v>
      </c>
      <c r="H295" t="str">
        <f>VLOOKUP(D295,[1]Proizvodi!$A$1:$F$15,3,FALSE)</f>
        <v>Ogledalo za zid</v>
      </c>
      <c r="I295" t="s">
        <v>433</v>
      </c>
      <c r="J295" t="str">
        <f>VLOOKUP(A295,[1]Klijenti!$A$1:$F$11,2,FALSE)</f>
        <v>Dom &amp; Dekor</v>
      </c>
      <c r="K295" t="str">
        <f>VLOOKUP(A295,[1]Klijenti!$A$1:$F$11,3,FALSE)</f>
        <v>Beogradski region</v>
      </c>
    </row>
    <row r="296" spans="1:11">
      <c r="A296" s="5">
        <v>127</v>
      </c>
      <c r="B296" s="15">
        <v>45331</v>
      </c>
      <c r="C296" s="5">
        <v>171444</v>
      </c>
      <c r="D296" s="5" t="s">
        <v>82</v>
      </c>
      <c r="E296" s="5">
        <v>50</v>
      </c>
      <c r="F296" s="32" t="s">
        <v>428</v>
      </c>
      <c r="G296" t="str">
        <f>VLOOKUP(D296,[1]Proizvodi!$A$1:$F$15,2,FALSE)</f>
        <v>Nameštaj za dnevnu sobu</v>
      </c>
      <c r="H296" t="str">
        <f>VLOOKUP(D296,[1]Proizvodi!$A$1:$F$15,3,FALSE)</f>
        <v>Sofa</v>
      </c>
      <c r="I296" t="s">
        <v>437</v>
      </c>
      <c r="J296" t="str">
        <f>VLOOKUP(A296,[1]Klijenti!$A$1:$F$11,2,FALSE)</f>
        <v>Luksuzni Dizajn</v>
      </c>
      <c r="K296" t="str">
        <f>VLOOKUP(A296,[1]Klijenti!$A$1:$F$11,3,FALSE)</f>
        <v>Vojvodina</v>
      </c>
    </row>
    <row r="297" spans="1:11">
      <c r="A297" s="5">
        <v>151</v>
      </c>
      <c r="B297" s="15">
        <v>45355</v>
      </c>
      <c r="C297" s="5">
        <v>443480</v>
      </c>
      <c r="D297" s="5" t="s">
        <v>89</v>
      </c>
      <c r="E297" s="5">
        <v>43</v>
      </c>
      <c r="F297" s="32" t="s">
        <v>429</v>
      </c>
      <c r="G297" t="str">
        <f>VLOOKUP(D297,[1]Proizvodi!$A$1:$F$15,2,FALSE)</f>
        <v>Nameštaj za dnevnu sobu</v>
      </c>
      <c r="H297" t="str">
        <f>VLOOKUP(D297,[1]Proizvodi!$A$1:$F$15,3,FALSE)</f>
        <v>Komoda</v>
      </c>
      <c r="I297" t="s">
        <v>434</v>
      </c>
      <c r="J297" t="str">
        <f>VLOOKUP(A297,[1]Klijenti!$A$1:$F$11,2,FALSE)</f>
        <v>Estetski Kutak</v>
      </c>
      <c r="K297" t="str">
        <f>VLOOKUP(A297,[1]Klijenti!$A$1:$F$11,3,FALSE)</f>
        <v>Srbija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1CEBEFAEBAB41BB17A346D1B4BB60" ma:contentTypeVersion="3" ma:contentTypeDescription="Create a new document." ma:contentTypeScope="" ma:versionID="bcda36dd85ed82351dcd8d601f923c7a">
  <xsd:schema xmlns:xsd="http://www.w3.org/2001/XMLSchema" xmlns:xs="http://www.w3.org/2001/XMLSchema" xmlns:p="http://schemas.microsoft.com/office/2006/metadata/properties" xmlns:ns2="71e66d0a-e8c6-4bd4-af54-2869b7281923" targetNamespace="http://schemas.microsoft.com/office/2006/metadata/properties" ma:root="true" ma:fieldsID="4ea4f84b9e0012e7d5aa01fae5424d4b" ns2:_="">
    <xsd:import namespace="71e66d0a-e8c6-4bd4-af54-2869b72819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66d0a-e8c6-4bd4-af54-2869b72819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557D5B-D014-452D-9509-1221B0EB68F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D98ADA-20F8-487C-BFEC-1B1E6926E362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BEAFE355-B9B7-4A61-B4F3-E427912A9A57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39EBFC95-F6F7-4B98-9F55-B3D3D5180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66d0a-e8c6-4bd4-af54-2869b72819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086AFE65-28BD-4168-9288-846AD2AFFC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Zaposleni</vt:lpstr>
      <vt:lpstr>Proizvodi</vt:lpstr>
      <vt:lpstr>Klijenti</vt:lpstr>
      <vt:lpstr>Prodaja</vt:lpstr>
      <vt:lpstr>Prodaja1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J. Popović</dc:creator>
  <cp:keywords/>
  <dc:description/>
  <cp:lastModifiedBy>Sava Protić | 2023/0164</cp:lastModifiedBy>
  <cp:revision/>
  <dcterms:created xsi:type="dcterms:W3CDTF">2024-02-05T10:46:58Z</dcterms:created>
  <dcterms:modified xsi:type="dcterms:W3CDTF">2025-12-20T23:12:26Z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0x0101005231CEBEFAEBAB41BB17A346D1B4BB60</vt:lpwstr>
  </property>
</Properties>
</file>