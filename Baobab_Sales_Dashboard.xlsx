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va\Desktop\"/>
    </mc:Choice>
  </mc:AlternateContent>
  <xr:revisionPtr revIDLastSave="0" documentId="8_{5B1013DB-1D46-4EB6-BE52-2C30E089FA8A}" xr6:coauthVersionLast="47" xr6:coauthVersionMax="47" xr10:uidLastSave="{00000000-0000-0000-0000-000000000000}"/>
  <bookViews>
    <workbookView xWindow="-108" yWindow="-108" windowWidth="23256" windowHeight="12456" firstSheet="6" activeTab="6" xr2:uid="{025186ED-C528-4B65-9CFB-EB7028A54F7D}"/>
  </bookViews>
  <sheets>
    <sheet name="Zaposleni" sheetId="1" r:id="rId1"/>
    <sheet name="Klijenti" sheetId="6" r:id="rId2"/>
    <sheet name="Proizvodi" sheetId="2" r:id="rId3"/>
    <sheet name="Prodaja" sheetId="8" r:id="rId4"/>
    <sheet name="Prodaja 1" sheetId="10" r:id="rId5"/>
    <sheet name="Zahtevi" sheetId="9" r:id="rId6"/>
    <sheet name="zahtev1" sheetId="11" r:id="rId7"/>
    <sheet name="zahtev2" sheetId="13" r:id="rId8"/>
    <sheet name="zahtev3" sheetId="18" r:id="rId9"/>
    <sheet name="zahtev4" sheetId="19" r:id="rId10"/>
    <sheet name="DASHBOARD" sheetId="20" r:id="rId11"/>
    <sheet name="Ukupna prodaja po kateg." sheetId="25" r:id="rId12"/>
  </sheets>
  <definedNames>
    <definedName name="_xlnm._FilterDatabase" localSheetId="1" hidden="1">Klijenti!$A$1:$F$1</definedName>
    <definedName name="_xlnm._FilterDatabase" localSheetId="3" hidden="1">Prodaja!$A$1:$F$1</definedName>
    <definedName name="_xlnm._FilterDatabase" localSheetId="4" hidden="1">'Prodaja 1'!$A$1:$F$1</definedName>
    <definedName name="_xlnm._FilterDatabase" localSheetId="2" hidden="1">Proizvodi!$A$1:$K$1</definedName>
    <definedName name="_xlnm._FilterDatabase" localSheetId="0" hidden="1">Zaposleni!$A$1:$N$16</definedName>
  </definedNames>
  <calcPr calcId="191028"/>
  <pivotCaches>
    <pivotCache cacheId="0" r:id="rId13"/>
    <pivotCache cacheId="1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97" i="10" l="1"/>
  <c r="H3" i="10" l="1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" i="10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" i="10"/>
  <c r="J2" i="10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" i="10"/>
  <c r="E298" i="8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2" i="1"/>
</calcChain>
</file>

<file path=xl/sharedStrings.xml><?xml version="1.0" encoding="utf-8"?>
<sst xmlns="http://schemas.openxmlformats.org/spreadsheetml/2006/main" count="1756" uniqueCount="471">
  <si>
    <t>ID</t>
  </si>
  <si>
    <t>Prezime</t>
  </si>
  <si>
    <t>Ime</t>
  </si>
  <si>
    <t>Pol</t>
  </si>
  <si>
    <t>e-mail adresa</t>
  </si>
  <si>
    <t>Nivo obrazovanja</t>
  </si>
  <si>
    <t>Godina zaposlenja</t>
  </si>
  <si>
    <t>Pozicija</t>
  </si>
  <si>
    <t>Odeljenje/tim</t>
  </si>
  <si>
    <t>Predviđeni iznos plate</t>
  </si>
  <si>
    <t>Prekovremeni rad</t>
  </si>
  <si>
    <t>Odobrena obustava</t>
  </si>
  <si>
    <t>Neto plata</t>
  </si>
  <si>
    <t>Datum isplate</t>
  </si>
  <si>
    <t>Anić</t>
  </si>
  <si>
    <t>Antonina</t>
  </si>
  <si>
    <t>ž</t>
  </si>
  <si>
    <t>ana@gmail.com</t>
  </si>
  <si>
    <t>prodavac</t>
  </si>
  <si>
    <t>prodaja</t>
  </si>
  <si>
    <t>Nikolić</t>
  </si>
  <si>
    <t>Nikša</t>
  </si>
  <si>
    <t>m</t>
  </si>
  <si>
    <t>nikola@gmail.com</t>
  </si>
  <si>
    <t>menadžer</t>
  </si>
  <si>
    <t>menadžment</t>
  </si>
  <si>
    <t>Ognjanović</t>
  </si>
  <si>
    <t>Jovan</t>
  </si>
  <si>
    <t>ognjen@gmail.com</t>
  </si>
  <si>
    <t>Petrović</t>
  </si>
  <si>
    <t>Pavle</t>
  </si>
  <si>
    <t>petar@gmail.com</t>
  </si>
  <si>
    <t>Jovanović</t>
  </si>
  <si>
    <t>Jelica</t>
  </si>
  <si>
    <t>jovana@gmail.com</t>
  </si>
  <si>
    <t>Nataša</t>
  </si>
  <si>
    <t>natasa@gmail.com</t>
  </si>
  <si>
    <t>HR stručnjak</t>
  </si>
  <si>
    <t>Vučković</t>
  </si>
  <si>
    <t>Sanja</t>
  </si>
  <si>
    <t>sanja@gmail.com</t>
  </si>
  <si>
    <t>Jelena</t>
  </si>
  <si>
    <t>jelena@gmail.com</t>
  </si>
  <si>
    <t>marketing savetnik</t>
  </si>
  <si>
    <t>Nenadović</t>
  </si>
  <si>
    <t>Novak</t>
  </si>
  <si>
    <t>nenad@gmail.com</t>
  </si>
  <si>
    <t>Marković</t>
  </si>
  <si>
    <t>Vuk</t>
  </si>
  <si>
    <t>marko@gmail.com</t>
  </si>
  <si>
    <t>IT podrška</t>
  </si>
  <si>
    <t>IT</t>
  </si>
  <si>
    <t>Ivanović</t>
  </si>
  <si>
    <t>Miloš</t>
  </si>
  <si>
    <t>ivan@gmail.com</t>
  </si>
  <si>
    <t>analitičar podataka</t>
  </si>
  <si>
    <t>Andrić</t>
  </si>
  <si>
    <t>Tamara</t>
  </si>
  <si>
    <t>tamara@gmail.com</t>
  </si>
  <si>
    <t>Zdravković</t>
  </si>
  <si>
    <t>Zoran</t>
  </si>
  <si>
    <t>zoran@gmail.com</t>
  </si>
  <si>
    <t>logistika</t>
  </si>
  <si>
    <t>Popović</t>
  </si>
  <si>
    <t>Milica</t>
  </si>
  <si>
    <t>milica@gmail.com</t>
  </si>
  <si>
    <t>Ilić</t>
  </si>
  <si>
    <t>Nina</t>
  </si>
  <si>
    <t>nina@gmail.com</t>
  </si>
  <si>
    <t>generalni direktor</t>
  </si>
  <si>
    <t>Šifra</t>
  </si>
  <si>
    <t>Kategorija</t>
  </si>
  <si>
    <t>Naziv proizvoda</t>
  </si>
  <si>
    <r>
      <t xml:space="preserve">Proizvodna cena </t>
    </r>
    <r>
      <rPr>
        <b/>
        <sz val="11"/>
        <color theme="1"/>
        <rFont val="Aptos Narrow"/>
        <family val="2"/>
      </rPr>
      <t>[€]</t>
    </r>
  </si>
  <si>
    <t>Veleprodajna cena  [€]</t>
  </si>
  <si>
    <t>Maloprodajna cena  [€]</t>
  </si>
  <si>
    <t>KO-008</t>
  </si>
  <si>
    <t>Nameštaj za dnevnu sobu</t>
  </si>
  <si>
    <t>Komoda</t>
  </si>
  <si>
    <t>KO-014</t>
  </si>
  <si>
    <t>Kuhinja</t>
  </si>
  <si>
    <t>Kuhinjsko ostrvo</t>
  </si>
  <si>
    <t>KS-001</t>
  </si>
  <si>
    <t>Klub sto</t>
  </si>
  <si>
    <t>NO-007</t>
  </si>
  <si>
    <t>Nameštaj za spavaću sobu</t>
  </si>
  <si>
    <t>Noćni ormarić</t>
  </si>
  <si>
    <t>OT-004</t>
  </si>
  <si>
    <t>Ormarić za TV</t>
  </si>
  <si>
    <t>OZ-011</t>
  </si>
  <si>
    <t>Ogledalo za zid</t>
  </si>
  <si>
    <t>PK-010</t>
  </si>
  <si>
    <t>Polica za knjige</t>
  </si>
  <si>
    <t>RF-003</t>
  </si>
  <si>
    <t>Rasklopiva fotelja</t>
  </si>
  <si>
    <t>RS-009</t>
  </si>
  <si>
    <t>Nameštaj za radnu sobu</t>
  </si>
  <si>
    <t>Radni sto</t>
  </si>
  <si>
    <t>SF-005</t>
  </si>
  <si>
    <t>Sofa</t>
  </si>
  <si>
    <t>SR-006</t>
  </si>
  <si>
    <t>Trpezarija</t>
  </si>
  <si>
    <t>Stolica za ručavanje</t>
  </si>
  <si>
    <t>TA-012</t>
  </si>
  <si>
    <t>Tabure</t>
  </si>
  <si>
    <t>TS-002</t>
  </si>
  <si>
    <t>Trpezarijski sto</t>
  </si>
  <si>
    <t>VP-013</t>
  </si>
  <si>
    <t>Viseća polica</t>
  </si>
  <si>
    <t>Klijenti</t>
  </si>
  <si>
    <t>Region</t>
  </si>
  <si>
    <t>Poslovanje</t>
  </si>
  <si>
    <t>Vreme osnivanja</t>
  </si>
  <si>
    <t>Godišnji prihod</t>
  </si>
  <si>
    <t>Dom &amp; Dekor</t>
  </si>
  <si>
    <t>Beogradski region</t>
  </si>
  <si>
    <t>maloprodaja</t>
  </si>
  <si>
    <t>Luksuzni Dizajn</t>
  </si>
  <si>
    <t>Vojvodina</t>
  </si>
  <si>
    <t>Estetski Kutak</t>
  </si>
  <si>
    <t>Srbija</t>
  </si>
  <si>
    <t>Prostor za Uživanje</t>
  </si>
  <si>
    <t>Udobni Kutak</t>
  </si>
  <si>
    <t>Južni region</t>
  </si>
  <si>
    <t>veleprodaja</t>
  </si>
  <si>
    <t>Stilski Stan</t>
  </si>
  <si>
    <t>Vojvodina i Beograd</t>
  </si>
  <si>
    <t>Sofistikacija Doma</t>
  </si>
  <si>
    <t>Šumadija</t>
  </si>
  <si>
    <t>Elegantni Enterijeri</t>
  </si>
  <si>
    <t>Južni i Šumadijski region</t>
  </si>
  <si>
    <t>Kuća- Uređenje i Dizajn</t>
  </si>
  <si>
    <t>Moderni Dom</t>
  </si>
  <si>
    <t>ID klijenta</t>
  </si>
  <si>
    <t>Datum kupovine</t>
  </si>
  <si>
    <t>Prodavac</t>
  </si>
  <si>
    <t>Šifra proizvoda</t>
  </si>
  <si>
    <t xml:space="preserve">Broj komada proizvoda </t>
  </si>
  <si>
    <t>Broj fakture</t>
  </si>
  <si>
    <t>SO45080</t>
  </si>
  <si>
    <t>SO45079</t>
  </si>
  <si>
    <t>SO45082</t>
  </si>
  <si>
    <t>MO45081</t>
  </si>
  <si>
    <t>MO45083</t>
  </si>
  <si>
    <t>SO45084</t>
  </si>
  <si>
    <t>MO45086</t>
  </si>
  <si>
    <t>MO45085</t>
  </si>
  <si>
    <t>SO45093</t>
  </si>
  <si>
    <t>SO45090</t>
  </si>
  <si>
    <t>SO45088</t>
  </si>
  <si>
    <t>SO45092</t>
  </si>
  <si>
    <t>SO45089</t>
  </si>
  <si>
    <t>SO45091</t>
  </si>
  <si>
    <t>SO45087</t>
  </si>
  <si>
    <t>SO45094</t>
  </si>
  <si>
    <t>SO45096</t>
  </si>
  <si>
    <t>SO45097</t>
  </si>
  <si>
    <t>SO45098</t>
  </si>
  <si>
    <t>MO45095</t>
  </si>
  <si>
    <t>SO45099</t>
  </si>
  <si>
    <t>SO45101</t>
  </si>
  <si>
    <t>SO45100</t>
  </si>
  <si>
    <t>SO45102</t>
  </si>
  <si>
    <t>SO45104</t>
  </si>
  <si>
    <t>MO45108</t>
  </si>
  <si>
    <t>SO45105</t>
  </si>
  <si>
    <t>SO45103</t>
  </si>
  <si>
    <t>SO45106</t>
  </si>
  <si>
    <t>SO45107</t>
  </si>
  <si>
    <t>MO45109</t>
  </si>
  <si>
    <t>SO45112</t>
  </si>
  <si>
    <t>SO45111</t>
  </si>
  <si>
    <t>SO45110</t>
  </si>
  <si>
    <t>SO45119</t>
  </si>
  <si>
    <t>MO45117</t>
  </si>
  <si>
    <t>SO45116</t>
  </si>
  <si>
    <t>SO45114</t>
  </si>
  <si>
    <t>SO45115</t>
  </si>
  <si>
    <t>SO45118</t>
  </si>
  <si>
    <t>MO45113</t>
  </si>
  <si>
    <t>SO45120</t>
  </si>
  <si>
    <t>SO45124</t>
  </si>
  <si>
    <t>SO45122</t>
  </si>
  <si>
    <t>MO45123</t>
  </si>
  <si>
    <t>SO45121</t>
  </si>
  <si>
    <t>SO45129</t>
  </si>
  <si>
    <t>SO45127</t>
  </si>
  <si>
    <t>SO45128</t>
  </si>
  <si>
    <t>SO45126</t>
  </si>
  <si>
    <t>SO45136</t>
  </si>
  <si>
    <t>SO45130</t>
  </si>
  <si>
    <t>SO45134</t>
  </si>
  <si>
    <t>SO45138</t>
  </si>
  <si>
    <t>SO45132</t>
  </si>
  <si>
    <t>SO45137</t>
  </si>
  <si>
    <t>SO45133</t>
  </si>
  <si>
    <t>SO45131</t>
  </si>
  <si>
    <t>SO45135</t>
  </si>
  <si>
    <t>MO45141</t>
  </si>
  <si>
    <t>SO45143</t>
  </si>
  <si>
    <t>SO45142</t>
  </si>
  <si>
    <t>SO45145</t>
  </si>
  <si>
    <t>SO45144</t>
  </si>
  <si>
    <t>SO45140</t>
  </si>
  <si>
    <t>SO45139</t>
  </si>
  <si>
    <t>MO45148</t>
  </si>
  <si>
    <t>SO45147</t>
  </si>
  <si>
    <t>MO45146</t>
  </si>
  <si>
    <t>SO45149</t>
  </si>
  <si>
    <t>SO45154</t>
  </si>
  <si>
    <t>MO45151</t>
  </si>
  <si>
    <t>SO45150</t>
  </si>
  <si>
    <t>SO45157</t>
  </si>
  <si>
    <t>SO45156</t>
  </si>
  <si>
    <t>SO45155</t>
  </si>
  <si>
    <t>SO45153</t>
  </si>
  <si>
    <t>SO45152</t>
  </si>
  <si>
    <t>SO45162</t>
  </si>
  <si>
    <t>SO45158</t>
  </si>
  <si>
    <t>SO45163</t>
  </si>
  <si>
    <t>SO45159</t>
  </si>
  <si>
    <t>SO45161</t>
  </si>
  <si>
    <t>SO45160</t>
  </si>
  <si>
    <t>SO45164</t>
  </si>
  <si>
    <t>SO45167</t>
  </si>
  <si>
    <t>SO45169</t>
  </si>
  <si>
    <t>SO45171</t>
  </si>
  <si>
    <t>SO45170</t>
  </si>
  <si>
    <t>SO45166</t>
  </si>
  <si>
    <t>MO45168</t>
  </si>
  <si>
    <t>SO45165</t>
  </si>
  <si>
    <t>SO45172</t>
  </si>
  <si>
    <t>SO45176</t>
  </si>
  <si>
    <t>SO45174</t>
  </si>
  <si>
    <t>SO45179</t>
  </si>
  <si>
    <t>SO45178</t>
  </si>
  <si>
    <t>SO45177</t>
  </si>
  <si>
    <t>MO45173</t>
  </si>
  <si>
    <t>MO45175</t>
  </si>
  <si>
    <t>SO45180</t>
  </si>
  <si>
    <t>SO45184</t>
  </si>
  <si>
    <t>SO45183</t>
  </si>
  <si>
    <t>MO45181</t>
  </si>
  <si>
    <t>SO45185</t>
  </si>
  <si>
    <t>SO45182</t>
  </si>
  <si>
    <t>SO45186</t>
  </si>
  <si>
    <t>SO45191</t>
  </si>
  <si>
    <t>SO45187</t>
  </si>
  <si>
    <t>SO45188</t>
  </si>
  <si>
    <t>SO45190</t>
  </si>
  <si>
    <t>SO45189</t>
  </si>
  <si>
    <t>MO45196</t>
  </si>
  <si>
    <t>SO45195</t>
  </si>
  <si>
    <t>SO45193</t>
  </si>
  <si>
    <t>SO45194</t>
  </si>
  <si>
    <t>SO45192</t>
  </si>
  <si>
    <t>SO45197</t>
  </si>
  <si>
    <t>SO45201</t>
  </si>
  <si>
    <t>SO45199</t>
  </si>
  <si>
    <t>SO45200</t>
  </si>
  <si>
    <t>SO45204</t>
  </si>
  <si>
    <t>SO45203</t>
  </si>
  <si>
    <t>MO45202</t>
  </si>
  <si>
    <t>SO45198</t>
  </si>
  <si>
    <t>MO45213</t>
  </si>
  <si>
    <t>SO45207</t>
  </si>
  <si>
    <t>MO45211</t>
  </si>
  <si>
    <t>SO45212</t>
  </si>
  <si>
    <t>SO45208</t>
  </si>
  <si>
    <t>SO45209</t>
  </si>
  <si>
    <t>SO45210</t>
  </si>
  <si>
    <t>MO45206</t>
  </si>
  <si>
    <t>SO45205</t>
  </si>
  <si>
    <t>SO45215</t>
  </si>
  <si>
    <t>SO45214</t>
  </si>
  <si>
    <t>SO45216</t>
  </si>
  <si>
    <t>SO45217</t>
  </si>
  <si>
    <t>SO45219</t>
  </si>
  <si>
    <t>SO45222</t>
  </si>
  <si>
    <t>SO45221</t>
  </si>
  <si>
    <t>SO45220</t>
  </si>
  <si>
    <t>MO45223</t>
  </si>
  <si>
    <t>SO45224</t>
  </si>
  <si>
    <t>SO45218</t>
  </si>
  <si>
    <t>SO45228</t>
  </si>
  <si>
    <t>SO45226</t>
  </si>
  <si>
    <t>SO45225</t>
  </si>
  <si>
    <t>SO45227</t>
  </si>
  <si>
    <t>SO45232</t>
  </si>
  <si>
    <t>SO45233</t>
  </si>
  <si>
    <t>SO45231</t>
  </si>
  <si>
    <t>SO45229</t>
  </si>
  <si>
    <t>SO45236</t>
  </si>
  <si>
    <t>SO45234</t>
  </si>
  <si>
    <t>SO45235</t>
  </si>
  <si>
    <t>SO45237</t>
  </si>
  <si>
    <t>MO45238</t>
  </si>
  <si>
    <t>SO45242</t>
  </si>
  <si>
    <t>SO45240</t>
  </si>
  <si>
    <t>SO45241</t>
  </si>
  <si>
    <t>MO45244</t>
  </si>
  <si>
    <t>SO45243</t>
  </si>
  <si>
    <t>SO45245</t>
  </si>
  <si>
    <t>SO45246</t>
  </si>
  <si>
    <t>SO45247</t>
  </si>
  <si>
    <t>SO45248</t>
  </si>
  <si>
    <t>SO45254</t>
  </si>
  <si>
    <t>SO45258</t>
  </si>
  <si>
    <t>SO45253</t>
  </si>
  <si>
    <t>SO45256</t>
  </si>
  <si>
    <t>SO45255</t>
  </si>
  <si>
    <t>SO45250</t>
  </si>
  <si>
    <t>SO45251</t>
  </si>
  <si>
    <t>SO45249</t>
  </si>
  <si>
    <t>SO45257</t>
  </si>
  <si>
    <t>SO45252</t>
  </si>
  <si>
    <t>SO45262</t>
  </si>
  <si>
    <t>SO45259</t>
  </si>
  <si>
    <t>MO45264</t>
  </si>
  <si>
    <t>SO45261</t>
  </si>
  <si>
    <t>SO45263</t>
  </si>
  <si>
    <t>SO45265</t>
  </si>
  <si>
    <t>SO45260</t>
  </si>
  <si>
    <t>SO45345</t>
  </si>
  <si>
    <t>SO45349</t>
  </si>
  <si>
    <t>SO45347</t>
  </si>
  <si>
    <t>SO45348</t>
  </si>
  <si>
    <t>SO45350</t>
  </si>
  <si>
    <t>SO45354</t>
  </si>
  <si>
    <t>SO45352</t>
  </si>
  <si>
    <t>MO45356</t>
  </si>
  <si>
    <t>SO45353</t>
  </si>
  <si>
    <t>SO45355</t>
  </si>
  <si>
    <t>SO45351</t>
  </si>
  <si>
    <t>SO45358</t>
  </si>
  <si>
    <t>SO45357</t>
  </si>
  <si>
    <t>SO45361</t>
  </si>
  <si>
    <t>SO45360</t>
  </si>
  <si>
    <t>SO45362</t>
  </si>
  <si>
    <t>SO45359</t>
  </si>
  <si>
    <t>SO45363</t>
  </si>
  <si>
    <t>MO45364</t>
  </si>
  <si>
    <t>SO45366</t>
  </si>
  <si>
    <t>SO45365</t>
  </si>
  <si>
    <t>SO45369</t>
  </si>
  <si>
    <t>SO45370</t>
  </si>
  <si>
    <t>SO45368</t>
  </si>
  <si>
    <t>SO45367</t>
  </si>
  <si>
    <t>SO45375</t>
  </si>
  <si>
    <t>MO45376</t>
  </si>
  <si>
    <t>SO45371</t>
  </si>
  <si>
    <t>SO45372</t>
  </si>
  <si>
    <t>SO45374</t>
  </si>
  <si>
    <t>SO45373</t>
  </si>
  <si>
    <t>MO45384</t>
  </si>
  <si>
    <t>SO45380</t>
  </si>
  <si>
    <t>MO45377</t>
  </si>
  <si>
    <t>MO45381</t>
  </si>
  <si>
    <t>SO45382</t>
  </si>
  <si>
    <t>SO45378</t>
  </si>
  <si>
    <t>SO45383</t>
  </si>
  <si>
    <t>SO45385</t>
  </si>
  <si>
    <t>SO45379</t>
  </si>
  <si>
    <t>SO45386</t>
  </si>
  <si>
    <t>SO45388</t>
  </si>
  <si>
    <t>SO45390</t>
  </si>
  <si>
    <t>SO45392</t>
  </si>
  <si>
    <t>SO45391</t>
  </si>
  <si>
    <t>SO45387</t>
  </si>
  <si>
    <t>SO45389</t>
  </si>
  <si>
    <t>SO45394</t>
  </si>
  <si>
    <t>SO45395</t>
  </si>
  <si>
    <t>MO45393</t>
  </si>
  <si>
    <t>SO45396</t>
  </si>
  <si>
    <t>SO45397</t>
  </si>
  <si>
    <t>SO45398</t>
  </si>
  <si>
    <t>SO45400</t>
  </si>
  <si>
    <t>SO45406</t>
  </si>
  <si>
    <t>SO45401</t>
  </si>
  <si>
    <t>SO45405</t>
  </si>
  <si>
    <t>SO45409</t>
  </si>
  <si>
    <t>SO45402</t>
  </si>
  <si>
    <t>SO45404</t>
  </si>
  <si>
    <t>SO45407</t>
  </si>
  <si>
    <t>SO45408</t>
  </si>
  <si>
    <t>SO45419</t>
  </si>
  <si>
    <t>SO45412</t>
  </si>
  <si>
    <t>SO45417</t>
  </si>
  <si>
    <t>SO45410</t>
  </si>
  <si>
    <t>SO45416</t>
  </si>
  <si>
    <t>SO45411</t>
  </si>
  <si>
    <t>MO45414</t>
  </si>
  <si>
    <t>SO45413</t>
  </si>
  <si>
    <t>SO45418</t>
  </si>
  <si>
    <t>SO45421</t>
  </si>
  <si>
    <t>SO45415</t>
  </si>
  <si>
    <t>SO45420</t>
  </si>
  <si>
    <t>SO45424</t>
  </si>
  <si>
    <t>MO45423</t>
  </si>
  <si>
    <t>SO45422</t>
  </si>
  <si>
    <t>SO45428</t>
  </si>
  <si>
    <t>SO45427</t>
  </si>
  <si>
    <t>SO45425</t>
  </si>
  <si>
    <t>SO45431</t>
  </si>
  <si>
    <t>SO45429</t>
  </si>
  <si>
    <t>SO45430</t>
  </si>
  <si>
    <t>SO45433</t>
  </si>
  <si>
    <t>SO45439</t>
  </si>
  <si>
    <t>SO45435</t>
  </si>
  <si>
    <t>SO45436</t>
  </si>
  <si>
    <t>SO45437</t>
  </si>
  <si>
    <t>SO45434</t>
  </si>
  <si>
    <t>SO45438</t>
  </si>
  <si>
    <t>SO45432</t>
  </si>
  <si>
    <t>MO45444</t>
  </si>
  <si>
    <t>MO45440</t>
  </si>
  <si>
    <t>SO45441</t>
  </si>
  <si>
    <t>SO45443</t>
  </si>
  <si>
    <t>SO45442</t>
  </si>
  <si>
    <t>SO45445</t>
  </si>
  <si>
    <t>MO45447</t>
  </si>
  <si>
    <t>SO45446</t>
  </si>
  <si>
    <t>SO45448</t>
  </si>
  <si>
    <t>SO45450</t>
  </si>
  <si>
    <t>MO45452</t>
  </si>
  <si>
    <t>SO45451</t>
  </si>
  <si>
    <t>SO45449</t>
  </si>
  <si>
    <t>SO45453</t>
  </si>
  <si>
    <t>SO45454</t>
  </si>
  <si>
    <t>SO45458</t>
  </si>
  <si>
    <t>SO45459</t>
  </si>
  <si>
    <t>SO45457</t>
  </si>
  <si>
    <t>SO45455</t>
  </si>
  <si>
    <t>MO45456</t>
  </si>
  <si>
    <t>MO45461</t>
  </si>
  <si>
    <t>Instrukcije</t>
  </si>
  <si>
    <t>Kompanija Baobab ima sledećе ciljeve:</t>
  </si>
  <si>
    <t>Preprocesiranje - priprema podataka</t>
  </si>
  <si>
    <t>0. Kopirati radni list Prodaja i Kreirati Prodaja 1</t>
  </si>
  <si>
    <t>1. Dodati  kolone Kategorija i Naziv proizvoda u radni list Prodaja1</t>
  </si>
  <si>
    <t>2. Dodati sledeće kolone u radni list Prodaja1: Prezime i Ime prodavca, Naziv klijenta i Region</t>
  </si>
  <si>
    <t>Zahtevi za domaći:</t>
  </si>
  <si>
    <t>Kreirati dashboard koji sadrži sledeće elemente:</t>
  </si>
  <si>
    <t xml:space="preserve">1. </t>
  </si>
  <si>
    <t>Ukupan broj prodatih jedinica po mesecima;</t>
  </si>
  <si>
    <t xml:space="preserve">2. </t>
  </si>
  <si>
    <t>Obim prodaje po regionima (broj prodatih jedinica);</t>
  </si>
  <si>
    <t xml:space="preserve">3. </t>
  </si>
  <si>
    <t>Prosečan broj kupljenih proizvoda po porudžbini za svakog klijenta po mesecima;</t>
  </si>
  <si>
    <t xml:space="preserve">4. </t>
  </si>
  <si>
    <t>Broj prodatih jedinica po kategoriji proizvoda za svakog prodavca.</t>
  </si>
  <si>
    <t>Naziv klijenta</t>
  </si>
  <si>
    <t>Anić Antonina</t>
  </si>
  <si>
    <t>Jovanović Jelica</t>
  </si>
  <si>
    <t>Ognjanović Jovan</t>
  </si>
  <si>
    <t>Vučković Sanja</t>
  </si>
  <si>
    <t>Nenadović Novak</t>
  </si>
  <si>
    <t>Prezime I ime prodavca</t>
  </si>
  <si>
    <t>obim prodaje</t>
  </si>
  <si>
    <t>Row Labels</t>
  </si>
  <si>
    <t>Grand Total</t>
  </si>
  <si>
    <t>Jan</t>
  </si>
  <si>
    <t>Feb</t>
  </si>
  <si>
    <t>Mar</t>
  </si>
  <si>
    <t xml:space="preserve">Sum of Broj komada proizvoda </t>
  </si>
  <si>
    <t>Column Labels</t>
  </si>
  <si>
    <t xml:space="preserve">Average of Broj komada proizvoda </t>
  </si>
  <si>
    <t>Baobab Avenija- drvna industrija</t>
  </si>
  <si>
    <t>Ukupan obim prodaje:</t>
  </si>
  <si>
    <t>Baobab ima sledeći cilj:</t>
  </si>
  <si>
    <t>Povećanje obima proizvodnje za 5% mesečno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</si>
</sst>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#.##0.00\ [$EUR]"/>
    <numFmt numFmtId="166" formatCode="d/\ m/\ yyyy/;@"/>
  </numFmts>
  <fonts count="15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2"/>
      <color rgb="FF374151"/>
      <name val="Segoe UI"/>
      <family val="2"/>
    </font>
    <font>
      <sz val="8"/>
      <name val="Calibri"/>
      <family val="2"/>
      <charset val="204"/>
      <scheme val="minor"/>
    </font>
    <font>
      <sz val="8"/>
      <color rgb="FF0D0D0D"/>
      <name val="Segoe U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Aptos Narrow"/>
      <family val="2"/>
    </font>
    <font>
      <sz val="11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8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5">
    <xf numFmtId="0" fontId="0" fillId="0" borderId="0" xfId="0"/>
    <xf numFmtId="165" fontId="0" fillId="0" borderId="0" xfId="0" applyNumberFormat="1"/>
    <xf numFmtId="0" fontId="3" fillId="0" borderId="0" xfId="0" applyFont="1" applyAlignment="1">
      <alignment horizontal="left" vertical="center" indent="9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center" indent="1"/>
    </xf>
    <xf numFmtId="0" fontId="0" fillId="0" borderId="1" xfId="0" applyBorder="1" applyAlignment="1">
      <alignment horizont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/>
    <xf numFmtId="2" fontId="0" fillId="0" borderId="0" xfId="0" applyNumberFormat="1" applyAlignment="1">
      <alignment horizontal="center"/>
    </xf>
    <xf numFmtId="0" fontId="2" fillId="0" borderId="0" xfId="0" applyFont="1"/>
    <xf numFmtId="166" fontId="0" fillId="0" borderId="1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6" fillId="2" borderId="0" xfId="0" applyFont="1" applyFill="1"/>
    <xf numFmtId="0" fontId="7" fillId="0" borderId="0" xfId="0" applyFont="1"/>
    <xf numFmtId="0" fontId="7" fillId="0" borderId="1" xfId="1" applyFont="1" applyBorder="1"/>
    <xf numFmtId="0" fontId="0" fillId="0" borderId="2" xfId="0" applyBorder="1"/>
    <xf numFmtId="0" fontId="2" fillId="2" borderId="1" xfId="0" applyFont="1" applyFill="1" applyBorder="1" applyAlignment="1">
      <alignment horizontal="center"/>
    </xf>
    <xf numFmtId="0" fontId="9" fillId="0" borderId="0" xfId="0" applyFont="1"/>
    <xf numFmtId="0" fontId="2" fillId="0" borderId="1" xfId="0" applyFont="1" applyBorder="1"/>
    <xf numFmtId="0" fontId="9" fillId="0" borderId="1" xfId="0" applyFont="1" applyBorder="1"/>
    <xf numFmtId="0" fontId="0" fillId="6" borderId="1" xfId="0" applyFill="1" applyBorder="1" applyAlignment="1">
      <alignment horizontal="center"/>
    </xf>
    <xf numFmtId="0" fontId="11" fillId="0" borderId="0" xfId="0" applyFont="1"/>
    <xf numFmtId="0" fontId="0" fillId="7" borderId="0" xfId="0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2" fontId="0" fillId="0" borderId="0" xfId="0" applyNumberFormat="1"/>
    <xf numFmtId="2" fontId="0" fillId="0" borderId="0" xfId="0" pivotButton="1" applyNumberFormat="1"/>
    <xf numFmtId="10" fontId="0" fillId="0" borderId="0" xfId="0" applyNumberFormat="1"/>
    <xf numFmtId="0" fontId="10" fillId="8" borderId="0" xfId="0" applyFont="1" applyFill="1" applyAlignment="1">
      <alignment horizontal="center"/>
    </xf>
    <xf numFmtId="0" fontId="13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1">
    <dxf>
      <numFmt numFmtId="2" formatCode="0.00"/>
    </dxf>
  </dxfs>
  <tableStyles count="0" defaultTableStyle="TableStyleMedium2" defaultPivotStyle="PivotStyleLight16"/>
  <colors>
    <mruColors>
      <color rgb="FF357B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[Baobab_Sales_Dashboard.xlsx]zahtev1!PivotTable7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Obim</a:t>
            </a:r>
            <a:r>
              <a:rPr lang="en-US" baseline="0"/>
              <a:t> prodaje po mesecima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  <a:effectLst/>
        </c:spPr>
      </c:pivotFmt>
      <c:pivotFmt>
        <c:idx val="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zahtev1!$B$3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958-4D35-992B-D405C8B1DC9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958-4D35-992B-D405C8B1DC9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958-4D35-992B-D405C8B1DC90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6958-4D35-992B-D405C8B1DC90}"/>
              </c:ext>
            </c:extLst>
          </c:dPt>
          <c:cat>
            <c:strRef>
              <c:f>zahtev1!$A$4:$A$7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zahtev1!$B$4:$B$7</c:f>
              <c:numCache>
                <c:formatCode>General</c:formatCode>
                <c:ptCount val="3"/>
                <c:pt idx="0">
                  <c:v>2461</c:v>
                </c:pt>
                <c:pt idx="1">
                  <c:v>2614</c:v>
                </c:pt>
                <c:pt idx="2">
                  <c:v>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C0-4775-8314-9B281695C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444304"/>
        <c:axId val="179442224"/>
      </c:barChart>
      <c:catAx>
        <c:axId val="17944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42224"/>
        <c:crosses val="autoZero"/>
        <c:auto val="1"/>
        <c:lblAlgn val="ctr"/>
        <c:lblOffset val="100"/>
        <c:noMultiLvlLbl val="0"/>
      </c:catAx>
      <c:valAx>
        <c:axId val="17944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4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4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[Baobab_Sales_Dashboard.xlsx]zahtev2!PivotTable9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Obim prodaje po regionima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zahtev2!$B$3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zahtev2!$A$4:$A$11</c:f>
              <c:strCache>
                <c:ptCount val="7"/>
                <c:pt idx="0">
                  <c:v>Beogradski region</c:v>
                </c:pt>
                <c:pt idx="1">
                  <c:v>Južni i Šumadijski region</c:v>
                </c:pt>
                <c:pt idx="2">
                  <c:v>Južni region</c:v>
                </c:pt>
                <c:pt idx="3">
                  <c:v>Srbija</c:v>
                </c:pt>
                <c:pt idx="4">
                  <c:v>Šumadija</c:v>
                </c:pt>
                <c:pt idx="5">
                  <c:v>Vojvodina</c:v>
                </c:pt>
                <c:pt idx="6">
                  <c:v>Vojvodina i Beograd</c:v>
                </c:pt>
              </c:strCache>
            </c:strRef>
          </c:cat>
          <c:val>
            <c:numRef>
              <c:f>zahtev2!$B$4:$B$11</c:f>
              <c:numCache>
                <c:formatCode>0.00%</c:formatCode>
                <c:ptCount val="7"/>
                <c:pt idx="0">
                  <c:v>0.20883792836897708</c:v>
                </c:pt>
                <c:pt idx="1">
                  <c:v>8.6189126513785103E-2</c:v>
                </c:pt>
                <c:pt idx="2">
                  <c:v>0.10435454779695955</c:v>
                </c:pt>
                <c:pt idx="3">
                  <c:v>0.33483638237567637</c:v>
                </c:pt>
                <c:pt idx="4">
                  <c:v>0.10216439062097397</c:v>
                </c:pt>
                <c:pt idx="5">
                  <c:v>9.3661427467147645E-2</c:v>
                </c:pt>
                <c:pt idx="6">
                  <c:v>6.9956196856480288E-2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04-4102-91DB-FBD3DD183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3466928"/>
        <c:axId val="814097632"/>
      </c:barChart>
      <c:catAx>
        <c:axId val="783466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097632"/>
        <c:crosses val="autoZero"/>
        <c:auto val="1"/>
        <c:lblAlgn val="ctr"/>
        <c:lblOffset val="100"/>
        <c:noMultiLvlLbl val="0"/>
      </c:catAx>
      <c:valAx>
        <c:axId val="8140976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4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[Baobab_Sales_Dashboard.xlsx]zahtev3!PivotTable3</c:name>
    <c:fmtId val="1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zahtev3!$B$3:$B$4</c:f>
              <c:strCache>
                <c:ptCount val="1"/>
                <c:pt idx="0">
                  <c:v>Dom &amp; Dekor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zahtev3!$A$5:$A$8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zahtev3!$B$5:$B$8</c:f>
              <c:numCache>
                <c:formatCode>0.00</c:formatCode>
                <c:ptCount val="3"/>
                <c:pt idx="0">
                  <c:v>23.777777777777779</c:v>
                </c:pt>
                <c:pt idx="1">
                  <c:v>26.333333333333332</c:v>
                </c:pt>
                <c:pt idx="2">
                  <c:v>23.636363636363637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1F-4FED-AAF5-505B93203B2F}"/>
            </c:ext>
          </c:extLst>
        </c:ser>
        <c:ser>
          <c:idx val="1"/>
          <c:order val="1"/>
          <c:tx>
            <c:strRef>
              <c:f>zahtev3!$C$3:$C$4</c:f>
              <c:strCache>
                <c:ptCount val="1"/>
                <c:pt idx="0">
                  <c:v>Elegantni Enterijeri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zahtev3!$A$5:$A$8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zahtev3!$C$5:$C$8</c:f>
              <c:numCache>
                <c:formatCode>0.00</c:formatCode>
                <c:ptCount val="3"/>
                <c:pt idx="0">
                  <c:v>20</c:v>
                </c:pt>
                <c:pt idx="1">
                  <c:v>20.833333333333332</c:v>
                </c:pt>
                <c:pt idx="2">
                  <c:v>26.4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1F-4FED-AAF5-505B93203B2F}"/>
            </c:ext>
          </c:extLst>
        </c:ser>
        <c:ser>
          <c:idx val="2"/>
          <c:order val="2"/>
          <c:tx>
            <c:strRef>
              <c:f>zahtev3!$D$3:$D$4</c:f>
              <c:strCache>
                <c:ptCount val="1"/>
                <c:pt idx="0">
                  <c:v>Estetski Kutak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zahtev3!$A$5:$A$8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zahtev3!$D$5:$D$8</c:f>
              <c:numCache>
                <c:formatCode>0.00</c:formatCode>
                <c:ptCount val="3"/>
                <c:pt idx="0">
                  <c:v>27.307692307692307</c:v>
                </c:pt>
                <c:pt idx="1">
                  <c:v>27.8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1F-4FED-AAF5-505B93203B2F}"/>
            </c:ext>
          </c:extLst>
        </c:ser>
        <c:ser>
          <c:idx val="3"/>
          <c:order val="3"/>
          <c:tx>
            <c:strRef>
              <c:f>zahtev3!$E$3:$E$4</c:f>
              <c:strCache>
                <c:ptCount val="1"/>
                <c:pt idx="0">
                  <c:v>Kuća- Uređenje i Dizajn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zahtev3!$A$5:$A$8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zahtev3!$E$5:$E$8</c:f>
              <c:numCache>
                <c:formatCode>0.00</c:formatCode>
                <c:ptCount val="3"/>
                <c:pt idx="0">
                  <c:v>31.272727272727273</c:v>
                </c:pt>
                <c:pt idx="1">
                  <c:v>33.4</c:v>
                </c:pt>
                <c:pt idx="2">
                  <c:v>21.09090909090909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1F-4FED-AAF5-505B93203B2F}"/>
            </c:ext>
          </c:extLst>
        </c:ser>
        <c:ser>
          <c:idx val="4"/>
          <c:order val="4"/>
          <c:tx>
            <c:strRef>
              <c:f>zahtev3!$F$3:$F$4</c:f>
              <c:strCache>
                <c:ptCount val="1"/>
                <c:pt idx="0">
                  <c:v>Luksuzni Dizajn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zahtev3!$A$5:$A$8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zahtev3!$F$5:$F$8</c:f>
              <c:numCache>
                <c:formatCode>0.00</c:formatCode>
                <c:ptCount val="3"/>
                <c:pt idx="0">
                  <c:v>35.4</c:v>
                </c:pt>
                <c:pt idx="1">
                  <c:v>27.888888888888889</c:v>
                </c:pt>
                <c:pt idx="2">
                  <c:v>21.357142857142858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1F-4FED-AAF5-505B93203B2F}"/>
            </c:ext>
          </c:extLst>
        </c:ser>
        <c:ser>
          <c:idx val="5"/>
          <c:order val="5"/>
          <c:tx>
            <c:strRef>
              <c:f>zahtev3!$G$3:$G$4</c:f>
              <c:strCache>
                <c:ptCount val="1"/>
                <c:pt idx="0">
                  <c:v>Moderni Dom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zahtev3!$A$5:$A$8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zahtev3!$G$5:$G$8</c:f>
              <c:numCache>
                <c:formatCode>0.00</c:formatCode>
                <c:ptCount val="3"/>
                <c:pt idx="0">
                  <c:v>29.444444444444443</c:v>
                </c:pt>
                <c:pt idx="1">
                  <c:v>25.4</c:v>
                </c:pt>
                <c:pt idx="2">
                  <c:v>26.692307692307693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C1F-4FED-AAF5-505B93203B2F}"/>
            </c:ext>
          </c:extLst>
        </c:ser>
        <c:ser>
          <c:idx val="6"/>
          <c:order val="6"/>
          <c:tx>
            <c:strRef>
              <c:f>zahtev3!$H$3:$H$4</c:f>
              <c:strCache>
                <c:ptCount val="1"/>
                <c:pt idx="0">
                  <c:v>Prostor za Uživanje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zahtev3!$A$5:$A$8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zahtev3!$H$5:$H$8</c:f>
              <c:numCache>
                <c:formatCode>0.00</c:formatCode>
                <c:ptCount val="3"/>
                <c:pt idx="0">
                  <c:v>24.833333333333332</c:v>
                </c:pt>
                <c:pt idx="1">
                  <c:v>31.8</c:v>
                </c:pt>
                <c:pt idx="2">
                  <c:v>27.666666666666668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C1F-4FED-AAF5-505B93203B2F}"/>
            </c:ext>
          </c:extLst>
        </c:ser>
        <c:ser>
          <c:idx val="7"/>
          <c:order val="7"/>
          <c:tx>
            <c:strRef>
              <c:f>zahtev3!$I$3:$I$4</c:f>
              <c:strCache>
                <c:ptCount val="1"/>
                <c:pt idx="0">
                  <c:v>Sofistikacija Doma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zahtev3!$A$5:$A$8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zahtev3!$I$5:$I$8</c:f>
              <c:numCache>
                <c:formatCode>0.00</c:formatCode>
                <c:ptCount val="3"/>
                <c:pt idx="0">
                  <c:v>29.3</c:v>
                </c:pt>
                <c:pt idx="1">
                  <c:v>27.222222222222221</c:v>
                </c:pt>
                <c:pt idx="2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C1F-4FED-AAF5-505B93203B2F}"/>
            </c:ext>
          </c:extLst>
        </c:ser>
        <c:ser>
          <c:idx val="8"/>
          <c:order val="8"/>
          <c:tx>
            <c:strRef>
              <c:f>zahtev3!$J$3:$J$4</c:f>
              <c:strCache>
                <c:ptCount val="1"/>
                <c:pt idx="0">
                  <c:v>Stilski Stan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zahtev3!$A$5:$A$8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zahtev3!$J$5:$J$8</c:f>
              <c:numCache>
                <c:formatCode>0.00</c:formatCode>
                <c:ptCount val="3"/>
                <c:pt idx="0">
                  <c:v>18.363636363636363</c:v>
                </c:pt>
                <c:pt idx="1">
                  <c:v>22.5</c:v>
                </c:pt>
                <c:pt idx="2">
                  <c:v>26.833333333333332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C1F-4FED-AAF5-505B93203B2F}"/>
            </c:ext>
          </c:extLst>
        </c:ser>
        <c:ser>
          <c:idx val="9"/>
          <c:order val="9"/>
          <c:tx>
            <c:strRef>
              <c:f>zahtev3!$K$3:$K$4</c:f>
              <c:strCache>
                <c:ptCount val="1"/>
                <c:pt idx="0">
                  <c:v>Udobni Kutak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zahtev3!$A$5:$A$8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zahtev3!$K$5:$K$8</c:f>
              <c:numCache>
                <c:formatCode>0.00</c:formatCode>
                <c:ptCount val="3"/>
                <c:pt idx="0">
                  <c:v>26</c:v>
                </c:pt>
                <c:pt idx="1">
                  <c:v>29.125</c:v>
                </c:pt>
                <c:pt idx="2">
                  <c:v>28.214285714285715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C1F-4FED-AAF5-505B93203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048831"/>
        <c:axId val="84037183"/>
      </c:barChart>
      <c:catAx>
        <c:axId val="8404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37183"/>
        <c:crosses val="autoZero"/>
        <c:auto val="1"/>
        <c:lblAlgn val="ctr"/>
        <c:lblOffset val="100"/>
        <c:noMultiLvlLbl val="0"/>
      </c:catAx>
      <c:valAx>
        <c:axId val="8403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48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[Baobab_Sales_Dashboard.xlsx]zahtev4!PivotTable4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Broj prodatih jedinica nameštaja po</a:t>
            </a:r>
            <a:r>
              <a:rPr lang="en-US" sz="1200" baseline="0"/>
              <a:t> kategorijama</a:t>
            </a:r>
            <a:endParaRPr lang="en-US" sz="1200"/>
          </a:p>
        </c:rich>
      </c:tx>
      <c:layout>
        <c:manualLayout>
          <c:xMode val="edge"/>
          <c:yMode val="edge"/>
          <c:x val="0.12330762226150303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2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2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2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2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zahtev4!$B$3:$B$4</c:f>
              <c:strCache>
                <c:ptCount val="1"/>
                <c:pt idx="0">
                  <c:v>Nameštaj za spavaću sobu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875-45CF-B7DF-28E85D723B21}"/>
              </c:ext>
            </c:extLst>
          </c:dPt>
          <c:dPt>
            <c:idx val="1"/>
            <c:bubble3D val="0"/>
            <c:spPr>
              <a:solidFill>
                <a:schemeClr val="accent2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75-45CF-B7DF-28E85D723B21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875-45CF-B7DF-28E85D723B21}"/>
              </c:ext>
            </c:extLst>
          </c:dPt>
          <c:dPt>
            <c:idx val="3"/>
            <c:bubble3D val="0"/>
            <c:spPr>
              <a:solidFill>
                <a:schemeClr val="accent2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875-45CF-B7DF-28E85D723B21}"/>
              </c:ext>
            </c:extLst>
          </c:dPt>
          <c:dPt>
            <c:idx val="4"/>
            <c:bubble3D val="0"/>
            <c:spPr>
              <a:solidFill>
                <a:schemeClr val="accent2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875-45CF-B7DF-28E85D723B21}"/>
              </c:ext>
            </c:extLst>
          </c:dPt>
          <c:cat>
            <c:strRef>
              <c:f>zahtev4!$A$5:$A$10</c:f>
              <c:strCache>
                <c:ptCount val="5"/>
                <c:pt idx="0">
                  <c:v>171444</c:v>
                </c:pt>
                <c:pt idx="1">
                  <c:v>243994</c:v>
                </c:pt>
                <c:pt idx="2">
                  <c:v>443480</c:v>
                </c:pt>
                <c:pt idx="3">
                  <c:v>466126</c:v>
                </c:pt>
                <c:pt idx="4">
                  <c:v>688897</c:v>
                </c:pt>
              </c:strCache>
            </c:strRef>
          </c:cat>
          <c:val>
            <c:numRef>
              <c:f>zahtev4!$B$5:$B$10</c:f>
              <c:numCache>
                <c:formatCode>General</c:formatCode>
                <c:ptCount val="5"/>
                <c:pt idx="0">
                  <c:v>69</c:v>
                </c:pt>
                <c:pt idx="1">
                  <c:v>154</c:v>
                </c:pt>
                <c:pt idx="2">
                  <c:v>84</c:v>
                </c:pt>
                <c:pt idx="3">
                  <c:v>84</c:v>
                </c:pt>
                <c:pt idx="4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6-4D77-A0FA-52FF42060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[Baobab_Sales_Dashboard.xlsx]zahtev1!PivotTable7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Obim</a:t>
            </a:r>
            <a:r>
              <a:rPr lang="en-US" baseline="0"/>
              <a:t> prodaje po mesecima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  <a:effectLst/>
        </c:spPr>
      </c:pivotFmt>
      <c:pivotFmt>
        <c:idx val="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  <a:effectLst/>
        </c:spPr>
      </c:pivotFmt>
      <c:pivotFmt>
        <c:idx val="7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  <a:effectLst/>
        </c:spPr>
      </c:pivotFmt>
      <c:pivotFmt>
        <c:idx val="1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zahtev1!$B$3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48-4516-905C-3EF258CBC1E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B48-4516-905C-3EF258CBC1E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48-4516-905C-3EF258CBC1E1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9B48-4516-905C-3EF258CBC1E1}"/>
              </c:ext>
            </c:extLst>
          </c:dPt>
          <c:cat>
            <c:strRef>
              <c:f>zahtev1!$A$4:$A$7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zahtev1!$B$4:$B$7</c:f>
              <c:numCache>
                <c:formatCode>General</c:formatCode>
                <c:ptCount val="3"/>
                <c:pt idx="0">
                  <c:v>2461</c:v>
                </c:pt>
                <c:pt idx="1">
                  <c:v>2614</c:v>
                </c:pt>
                <c:pt idx="2">
                  <c:v>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B48-4516-905C-3EF258CBC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444304"/>
        <c:axId val="179442224"/>
      </c:barChart>
      <c:catAx>
        <c:axId val="17944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42224"/>
        <c:crosses val="autoZero"/>
        <c:auto val="1"/>
        <c:lblAlgn val="ctr"/>
        <c:lblOffset val="100"/>
        <c:noMultiLvlLbl val="0"/>
      </c:catAx>
      <c:valAx>
        <c:axId val="17944222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4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4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[Baobab_Sales_Dashboard.xlsx]zahtev2!PivotTable9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Obim prodaje po regionima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zahtev2!$B$3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zahtev2!$A$4:$A$11</c:f>
              <c:strCache>
                <c:ptCount val="7"/>
                <c:pt idx="0">
                  <c:v>Beogradski region</c:v>
                </c:pt>
                <c:pt idx="1">
                  <c:v>Južni i Šumadijski region</c:v>
                </c:pt>
                <c:pt idx="2">
                  <c:v>Južni region</c:v>
                </c:pt>
                <c:pt idx="3">
                  <c:v>Srbija</c:v>
                </c:pt>
                <c:pt idx="4">
                  <c:v>Šumadija</c:v>
                </c:pt>
                <c:pt idx="5">
                  <c:v>Vojvodina</c:v>
                </c:pt>
                <c:pt idx="6">
                  <c:v>Vojvodina i Beograd</c:v>
                </c:pt>
              </c:strCache>
            </c:strRef>
          </c:cat>
          <c:val>
            <c:numRef>
              <c:f>zahtev2!$B$4:$B$11</c:f>
              <c:numCache>
                <c:formatCode>0.00%</c:formatCode>
                <c:ptCount val="7"/>
                <c:pt idx="0">
                  <c:v>0.20883792836897708</c:v>
                </c:pt>
                <c:pt idx="1">
                  <c:v>8.6189126513785103E-2</c:v>
                </c:pt>
                <c:pt idx="2">
                  <c:v>0.10435454779695955</c:v>
                </c:pt>
                <c:pt idx="3">
                  <c:v>0.33483638237567637</c:v>
                </c:pt>
                <c:pt idx="4">
                  <c:v>0.10216439062097397</c:v>
                </c:pt>
                <c:pt idx="5">
                  <c:v>9.3661427467147645E-2</c:v>
                </c:pt>
                <c:pt idx="6">
                  <c:v>6.9956196856480288E-2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5B-4811-8987-5001B86AE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3466928"/>
        <c:axId val="814097632"/>
      </c:barChart>
      <c:catAx>
        <c:axId val="783466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097632"/>
        <c:crosses val="autoZero"/>
        <c:auto val="1"/>
        <c:lblAlgn val="ctr"/>
        <c:lblOffset val="100"/>
        <c:noMultiLvlLbl val="0"/>
      </c:catAx>
      <c:valAx>
        <c:axId val="8140976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4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[Baobab_Sales_Dashboard.xlsx]zahtev3!PivotTable3</c:name>
    <c:fmtId val="12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zahtev3!$B$3:$B$4</c:f>
              <c:strCache>
                <c:ptCount val="1"/>
                <c:pt idx="0">
                  <c:v>Dom &amp; Dekor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zahtev3!$A$5:$A$8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zahtev3!$B$5:$B$8</c:f>
              <c:numCache>
                <c:formatCode>0.00</c:formatCode>
                <c:ptCount val="3"/>
                <c:pt idx="0">
                  <c:v>23.777777777777779</c:v>
                </c:pt>
                <c:pt idx="1">
                  <c:v>26.333333333333332</c:v>
                </c:pt>
                <c:pt idx="2">
                  <c:v>23.636363636363637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2-4CF6-81CF-0BCE97AE504E}"/>
            </c:ext>
          </c:extLst>
        </c:ser>
        <c:ser>
          <c:idx val="1"/>
          <c:order val="1"/>
          <c:tx>
            <c:strRef>
              <c:f>zahtev3!$C$3:$C$4</c:f>
              <c:strCache>
                <c:ptCount val="1"/>
                <c:pt idx="0">
                  <c:v>Elegantni Enterijeri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zahtev3!$A$5:$A$8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zahtev3!$C$5:$C$8</c:f>
              <c:numCache>
                <c:formatCode>0.00</c:formatCode>
                <c:ptCount val="3"/>
                <c:pt idx="0">
                  <c:v>20</c:v>
                </c:pt>
                <c:pt idx="1">
                  <c:v>20.833333333333332</c:v>
                </c:pt>
                <c:pt idx="2">
                  <c:v>26.4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F2-4CF6-81CF-0BCE97AE504E}"/>
            </c:ext>
          </c:extLst>
        </c:ser>
        <c:ser>
          <c:idx val="2"/>
          <c:order val="2"/>
          <c:tx>
            <c:strRef>
              <c:f>zahtev3!$D$3:$D$4</c:f>
              <c:strCache>
                <c:ptCount val="1"/>
                <c:pt idx="0">
                  <c:v>Estetski Kutak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zahtev3!$A$5:$A$8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zahtev3!$D$5:$D$8</c:f>
              <c:numCache>
                <c:formatCode>0.00</c:formatCode>
                <c:ptCount val="3"/>
                <c:pt idx="0">
                  <c:v>27.307692307692307</c:v>
                </c:pt>
                <c:pt idx="1">
                  <c:v>27.8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F2-4CF6-81CF-0BCE97AE504E}"/>
            </c:ext>
          </c:extLst>
        </c:ser>
        <c:ser>
          <c:idx val="3"/>
          <c:order val="3"/>
          <c:tx>
            <c:strRef>
              <c:f>zahtev3!$E$3:$E$4</c:f>
              <c:strCache>
                <c:ptCount val="1"/>
                <c:pt idx="0">
                  <c:v>Kuća- Uređenje i Dizajn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zahtev3!$A$5:$A$8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zahtev3!$E$5:$E$8</c:f>
              <c:numCache>
                <c:formatCode>0.00</c:formatCode>
                <c:ptCount val="3"/>
                <c:pt idx="0">
                  <c:v>31.272727272727273</c:v>
                </c:pt>
                <c:pt idx="1">
                  <c:v>33.4</c:v>
                </c:pt>
                <c:pt idx="2">
                  <c:v>21.09090909090909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F2-4CF6-81CF-0BCE97AE504E}"/>
            </c:ext>
          </c:extLst>
        </c:ser>
        <c:ser>
          <c:idx val="4"/>
          <c:order val="4"/>
          <c:tx>
            <c:strRef>
              <c:f>zahtev3!$F$3:$F$4</c:f>
              <c:strCache>
                <c:ptCount val="1"/>
                <c:pt idx="0">
                  <c:v>Luksuzni Dizajn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zahtev3!$A$5:$A$8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zahtev3!$F$5:$F$8</c:f>
              <c:numCache>
                <c:formatCode>0.00</c:formatCode>
                <c:ptCount val="3"/>
                <c:pt idx="0">
                  <c:v>35.4</c:v>
                </c:pt>
                <c:pt idx="1">
                  <c:v>27.888888888888889</c:v>
                </c:pt>
                <c:pt idx="2">
                  <c:v>21.357142857142858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F2-4CF6-81CF-0BCE97AE504E}"/>
            </c:ext>
          </c:extLst>
        </c:ser>
        <c:ser>
          <c:idx val="5"/>
          <c:order val="5"/>
          <c:tx>
            <c:strRef>
              <c:f>zahtev3!$G$3:$G$4</c:f>
              <c:strCache>
                <c:ptCount val="1"/>
                <c:pt idx="0">
                  <c:v>Moderni Dom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zahtev3!$A$5:$A$8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zahtev3!$G$5:$G$8</c:f>
              <c:numCache>
                <c:formatCode>0.00</c:formatCode>
                <c:ptCount val="3"/>
                <c:pt idx="0">
                  <c:v>29.444444444444443</c:v>
                </c:pt>
                <c:pt idx="1">
                  <c:v>25.4</c:v>
                </c:pt>
                <c:pt idx="2">
                  <c:v>26.692307692307693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CF2-4CF6-81CF-0BCE97AE504E}"/>
            </c:ext>
          </c:extLst>
        </c:ser>
        <c:ser>
          <c:idx val="6"/>
          <c:order val="6"/>
          <c:tx>
            <c:strRef>
              <c:f>zahtev3!$H$3:$H$4</c:f>
              <c:strCache>
                <c:ptCount val="1"/>
                <c:pt idx="0">
                  <c:v>Prostor za Uživanje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zahtev3!$A$5:$A$8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zahtev3!$H$5:$H$8</c:f>
              <c:numCache>
                <c:formatCode>0.00</c:formatCode>
                <c:ptCount val="3"/>
                <c:pt idx="0">
                  <c:v>24.833333333333332</c:v>
                </c:pt>
                <c:pt idx="1">
                  <c:v>31.8</c:v>
                </c:pt>
                <c:pt idx="2">
                  <c:v>27.666666666666668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CF2-4CF6-81CF-0BCE97AE504E}"/>
            </c:ext>
          </c:extLst>
        </c:ser>
        <c:ser>
          <c:idx val="7"/>
          <c:order val="7"/>
          <c:tx>
            <c:strRef>
              <c:f>zahtev3!$I$3:$I$4</c:f>
              <c:strCache>
                <c:ptCount val="1"/>
                <c:pt idx="0">
                  <c:v>Sofistikacija Doma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zahtev3!$A$5:$A$8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zahtev3!$I$5:$I$8</c:f>
              <c:numCache>
                <c:formatCode>0.00</c:formatCode>
                <c:ptCount val="3"/>
                <c:pt idx="0">
                  <c:v>29.3</c:v>
                </c:pt>
                <c:pt idx="1">
                  <c:v>27.222222222222221</c:v>
                </c:pt>
                <c:pt idx="2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CF2-4CF6-81CF-0BCE97AE504E}"/>
            </c:ext>
          </c:extLst>
        </c:ser>
        <c:ser>
          <c:idx val="8"/>
          <c:order val="8"/>
          <c:tx>
            <c:strRef>
              <c:f>zahtev3!$J$3:$J$4</c:f>
              <c:strCache>
                <c:ptCount val="1"/>
                <c:pt idx="0">
                  <c:v>Stilski Stan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zahtev3!$A$5:$A$8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zahtev3!$J$5:$J$8</c:f>
              <c:numCache>
                <c:formatCode>0.00</c:formatCode>
                <c:ptCount val="3"/>
                <c:pt idx="0">
                  <c:v>18.363636363636363</c:v>
                </c:pt>
                <c:pt idx="1">
                  <c:v>22.5</c:v>
                </c:pt>
                <c:pt idx="2">
                  <c:v>26.833333333333332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CF2-4CF6-81CF-0BCE97AE504E}"/>
            </c:ext>
          </c:extLst>
        </c:ser>
        <c:ser>
          <c:idx val="9"/>
          <c:order val="9"/>
          <c:tx>
            <c:strRef>
              <c:f>zahtev3!$K$3:$K$4</c:f>
              <c:strCache>
                <c:ptCount val="1"/>
                <c:pt idx="0">
                  <c:v>Udobni Kutak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zahtev3!$A$5:$A$8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zahtev3!$K$5:$K$8</c:f>
              <c:numCache>
                <c:formatCode>0.00</c:formatCode>
                <c:ptCount val="3"/>
                <c:pt idx="0">
                  <c:v>26</c:v>
                </c:pt>
                <c:pt idx="1">
                  <c:v>29.125</c:v>
                </c:pt>
                <c:pt idx="2">
                  <c:v>28.214285714285715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CF2-4CF6-81CF-0BCE97AE5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048831"/>
        <c:axId val="84037183"/>
      </c:barChart>
      <c:catAx>
        <c:axId val="8404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37183"/>
        <c:crosses val="autoZero"/>
        <c:auto val="1"/>
        <c:lblAlgn val="ctr"/>
        <c:lblOffset val="100"/>
        <c:noMultiLvlLbl val="0"/>
      </c:catAx>
      <c:valAx>
        <c:axId val="8403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48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[Baobab_Sales_Dashboard.xlsx]zahtev4!PivotTable4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Broj prodatih jedinica nameštaja po</a:t>
            </a:r>
            <a:r>
              <a:rPr lang="en-US" baseline="0"/>
              <a:t> kategorijama</a:t>
            </a:r>
            <a:endParaRPr lang="en-US"/>
          </a:p>
        </c:rich>
      </c:tx>
      <c:layout>
        <c:manualLayout>
          <c:xMode val="edge"/>
          <c:yMode val="edge"/>
          <c:x val="0.12330762226150303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2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2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2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2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2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2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zahtev4!$B$3:$B$4</c:f>
              <c:strCache>
                <c:ptCount val="1"/>
                <c:pt idx="0">
                  <c:v>Nameštaj za spavaću sobu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5D-4B21-BAEF-DB514D03D787}"/>
              </c:ext>
            </c:extLst>
          </c:dPt>
          <c:dPt>
            <c:idx val="1"/>
            <c:bubble3D val="0"/>
            <c:spPr>
              <a:solidFill>
                <a:schemeClr val="accent2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5D-4B21-BAEF-DB514D03D787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5D-4B21-BAEF-DB514D03D787}"/>
              </c:ext>
            </c:extLst>
          </c:dPt>
          <c:dPt>
            <c:idx val="3"/>
            <c:bubble3D val="0"/>
            <c:spPr>
              <a:solidFill>
                <a:schemeClr val="accent2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5D-4B21-BAEF-DB514D03D787}"/>
              </c:ext>
            </c:extLst>
          </c:dPt>
          <c:dPt>
            <c:idx val="4"/>
            <c:bubble3D val="0"/>
            <c:spPr>
              <a:solidFill>
                <a:schemeClr val="accent2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45D-4B21-BAEF-DB514D03D787}"/>
              </c:ext>
            </c:extLst>
          </c:dPt>
          <c:cat>
            <c:strRef>
              <c:f>zahtev4!$A$5:$A$10</c:f>
              <c:strCache>
                <c:ptCount val="5"/>
                <c:pt idx="0">
                  <c:v>171444</c:v>
                </c:pt>
                <c:pt idx="1">
                  <c:v>243994</c:v>
                </c:pt>
                <c:pt idx="2">
                  <c:v>443480</c:v>
                </c:pt>
                <c:pt idx="3">
                  <c:v>466126</c:v>
                </c:pt>
                <c:pt idx="4">
                  <c:v>688897</c:v>
                </c:pt>
              </c:strCache>
            </c:strRef>
          </c:cat>
          <c:val>
            <c:numRef>
              <c:f>zahtev4!$B$5:$B$10</c:f>
              <c:numCache>
                <c:formatCode>General</c:formatCode>
                <c:ptCount val="5"/>
                <c:pt idx="0">
                  <c:v>69</c:v>
                </c:pt>
                <c:pt idx="1">
                  <c:v>154</c:v>
                </c:pt>
                <c:pt idx="2">
                  <c:v>84</c:v>
                </c:pt>
                <c:pt idx="3">
                  <c:v>84</c:v>
                </c:pt>
                <c:pt idx="4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45D-4B21-BAEF-DB514D03D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[Baobab_Sales_Dashboard.xlsx]Ukupna prodaja po kateg.!PivotTable3</c:name>
    <c:fmtId val="5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'Ukupna prodaja po kateg.'!$B$3:$B$4</c:f>
              <c:strCache>
                <c:ptCount val="1"/>
                <c:pt idx="0">
                  <c:v>Kuhinja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'Ukupna prodaja po kateg.'!$A$5:$A$10</c:f>
              <c:strCache>
                <c:ptCount val="5"/>
                <c:pt idx="0">
                  <c:v>171444</c:v>
                </c:pt>
                <c:pt idx="1">
                  <c:v>243994</c:v>
                </c:pt>
                <c:pt idx="2">
                  <c:v>443480</c:v>
                </c:pt>
                <c:pt idx="3">
                  <c:v>466126</c:v>
                </c:pt>
                <c:pt idx="4">
                  <c:v>688897</c:v>
                </c:pt>
              </c:strCache>
            </c:strRef>
          </c:cat>
          <c:val>
            <c:numRef>
              <c:f>'Ukupna prodaja po kateg.'!$B$5:$B$10</c:f>
              <c:numCache>
                <c:formatCode>General</c:formatCode>
                <c:ptCount val="5"/>
                <c:pt idx="0">
                  <c:v>211</c:v>
                </c:pt>
                <c:pt idx="1">
                  <c:v>315</c:v>
                </c:pt>
                <c:pt idx="2">
                  <c:v>169</c:v>
                </c:pt>
                <c:pt idx="3">
                  <c:v>226</c:v>
                </c:pt>
                <c:pt idx="4">
                  <c:v>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2C-40EA-8B04-AC95EEFF678F}"/>
            </c:ext>
          </c:extLst>
        </c:ser>
        <c:ser>
          <c:idx val="1"/>
          <c:order val="1"/>
          <c:tx>
            <c:strRef>
              <c:f>'Ukupna prodaja po kateg.'!$C$3:$C$4</c:f>
              <c:strCache>
                <c:ptCount val="1"/>
                <c:pt idx="0">
                  <c:v>Nameštaj za dnevnu sobu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'Ukupna prodaja po kateg.'!$A$5:$A$10</c:f>
              <c:strCache>
                <c:ptCount val="5"/>
                <c:pt idx="0">
                  <c:v>171444</c:v>
                </c:pt>
                <c:pt idx="1">
                  <c:v>243994</c:v>
                </c:pt>
                <c:pt idx="2">
                  <c:v>443480</c:v>
                </c:pt>
                <c:pt idx="3">
                  <c:v>466126</c:v>
                </c:pt>
                <c:pt idx="4">
                  <c:v>688897</c:v>
                </c:pt>
              </c:strCache>
            </c:strRef>
          </c:cat>
          <c:val>
            <c:numRef>
              <c:f>'Ukupna prodaja po kateg.'!$C$5:$C$10</c:f>
              <c:numCache>
                <c:formatCode>General</c:formatCode>
                <c:ptCount val="5"/>
                <c:pt idx="0">
                  <c:v>956</c:v>
                </c:pt>
                <c:pt idx="1">
                  <c:v>776</c:v>
                </c:pt>
                <c:pt idx="2">
                  <c:v>1050</c:v>
                </c:pt>
                <c:pt idx="3">
                  <c:v>978</c:v>
                </c:pt>
                <c:pt idx="4">
                  <c:v>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2C-40EA-8B04-AC95EEFF678F}"/>
            </c:ext>
          </c:extLst>
        </c:ser>
        <c:ser>
          <c:idx val="2"/>
          <c:order val="2"/>
          <c:tx>
            <c:strRef>
              <c:f>'Ukupna prodaja po kateg.'!$D$3:$D$4</c:f>
              <c:strCache>
                <c:ptCount val="1"/>
                <c:pt idx="0">
                  <c:v>Nameštaj za radnu sobu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'Ukupna prodaja po kateg.'!$A$5:$A$10</c:f>
              <c:strCache>
                <c:ptCount val="5"/>
                <c:pt idx="0">
                  <c:v>171444</c:v>
                </c:pt>
                <c:pt idx="1">
                  <c:v>243994</c:v>
                </c:pt>
                <c:pt idx="2">
                  <c:v>443480</c:v>
                </c:pt>
                <c:pt idx="3">
                  <c:v>466126</c:v>
                </c:pt>
                <c:pt idx="4">
                  <c:v>688897</c:v>
                </c:pt>
              </c:strCache>
            </c:strRef>
          </c:cat>
          <c:val>
            <c:numRef>
              <c:f>'Ukupna prodaja po kateg.'!$D$5:$D$10</c:f>
              <c:numCache>
                <c:formatCode>General</c:formatCode>
                <c:ptCount val="5"/>
                <c:pt idx="0">
                  <c:v>54</c:v>
                </c:pt>
                <c:pt idx="1">
                  <c:v>158</c:v>
                </c:pt>
                <c:pt idx="2">
                  <c:v>115</c:v>
                </c:pt>
                <c:pt idx="3">
                  <c:v>95</c:v>
                </c:pt>
                <c:pt idx="4">
                  <c:v>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2C-40EA-8B04-AC95EEFF678F}"/>
            </c:ext>
          </c:extLst>
        </c:ser>
        <c:ser>
          <c:idx val="3"/>
          <c:order val="3"/>
          <c:tx>
            <c:strRef>
              <c:f>'Ukupna prodaja po kateg.'!$E$3:$E$4</c:f>
              <c:strCache>
                <c:ptCount val="1"/>
                <c:pt idx="0">
                  <c:v>Nameštaj za spavaću sobu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'Ukupna prodaja po kateg.'!$A$5:$A$10</c:f>
              <c:strCache>
                <c:ptCount val="5"/>
                <c:pt idx="0">
                  <c:v>171444</c:v>
                </c:pt>
                <c:pt idx="1">
                  <c:v>243994</c:v>
                </c:pt>
                <c:pt idx="2">
                  <c:v>443480</c:v>
                </c:pt>
                <c:pt idx="3">
                  <c:v>466126</c:v>
                </c:pt>
                <c:pt idx="4">
                  <c:v>688897</c:v>
                </c:pt>
              </c:strCache>
            </c:strRef>
          </c:cat>
          <c:val>
            <c:numRef>
              <c:f>'Ukupna prodaja po kateg.'!$E$5:$E$10</c:f>
              <c:numCache>
                <c:formatCode>General</c:formatCode>
                <c:ptCount val="5"/>
                <c:pt idx="0">
                  <c:v>69</c:v>
                </c:pt>
                <c:pt idx="1">
                  <c:v>154</c:v>
                </c:pt>
                <c:pt idx="2">
                  <c:v>84</c:v>
                </c:pt>
                <c:pt idx="3">
                  <c:v>84</c:v>
                </c:pt>
                <c:pt idx="4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2C-40EA-8B04-AC95EEFF678F}"/>
            </c:ext>
          </c:extLst>
        </c:ser>
        <c:ser>
          <c:idx val="4"/>
          <c:order val="4"/>
          <c:tx>
            <c:strRef>
              <c:f>'Ukupna prodaja po kateg.'!$F$3:$F$4</c:f>
              <c:strCache>
                <c:ptCount val="1"/>
                <c:pt idx="0">
                  <c:v>Trpezarija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'Ukupna prodaja po kateg.'!$A$5:$A$10</c:f>
              <c:strCache>
                <c:ptCount val="5"/>
                <c:pt idx="0">
                  <c:v>171444</c:v>
                </c:pt>
                <c:pt idx="1">
                  <c:v>243994</c:v>
                </c:pt>
                <c:pt idx="2">
                  <c:v>443480</c:v>
                </c:pt>
                <c:pt idx="3">
                  <c:v>466126</c:v>
                </c:pt>
                <c:pt idx="4">
                  <c:v>688897</c:v>
                </c:pt>
              </c:strCache>
            </c:strRef>
          </c:cat>
          <c:val>
            <c:numRef>
              <c:f>'Ukupna prodaja po kateg.'!$F$5:$F$10</c:f>
              <c:numCache>
                <c:formatCode>General</c:formatCode>
                <c:ptCount val="5"/>
                <c:pt idx="0">
                  <c:v>296</c:v>
                </c:pt>
                <c:pt idx="1">
                  <c:v>184</c:v>
                </c:pt>
                <c:pt idx="2">
                  <c:v>173</c:v>
                </c:pt>
                <c:pt idx="3">
                  <c:v>220</c:v>
                </c:pt>
                <c:pt idx="4">
                  <c:v>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2C-40EA-8B04-AC95EEFF6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474480"/>
        <c:axId val="246475312"/>
      </c:lineChart>
      <c:catAx>
        <c:axId val="24647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475312"/>
        <c:crosses val="autoZero"/>
        <c:auto val="1"/>
        <c:lblAlgn val="ctr"/>
        <c:lblOffset val="100"/>
        <c:noMultiLvlLbl val="0"/>
      </c:catAx>
      <c:valAx>
        <c:axId val="24647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47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2</xdr:row>
      <xdr:rowOff>152400</xdr:rowOff>
    </xdr:from>
    <xdr:to>
      <xdr:col>9</xdr:col>
      <xdr:colOff>601980</xdr:colOff>
      <xdr:row>16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EED9A1-62A0-4203-B925-5A35DEE606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213360</xdr:colOff>
      <xdr:row>3</xdr:row>
      <xdr:rowOff>91440</xdr:rowOff>
    </xdr:from>
    <xdr:to>
      <xdr:col>12</xdr:col>
      <xdr:colOff>464820</xdr:colOff>
      <xdr:row>17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72ED56-E87A-4E96-A4AD-C2D9280C8C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83820</xdr:colOff>
      <xdr:row>10</xdr:row>
      <xdr:rowOff>60960</xdr:rowOff>
    </xdr:from>
    <xdr:to>
      <xdr:col>7</xdr:col>
      <xdr:colOff>1013460</xdr:colOff>
      <xdr:row>25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71299F-D2A2-42B6-8032-0FDB3D08F5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403860</xdr:colOff>
      <xdr:row>2</xdr:row>
      <xdr:rowOff>80010</xdr:rowOff>
    </xdr:from>
    <xdr:to>
      <xdr:col>8</xdr:col>
      <xdr:colOff>419100</xdr:colOff>
      <xdr:row>17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AD01E4-C78D-4189-87ED-0130F022DD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5</xdr:col>
      <xdr:colOff>548640</xdr:colOff>
      <xdr:row>25</xdr:row>
      <xdr:rowOff>168088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8128C6B-C66C-44DC-A989-C036B280D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563880</xdr:colOff>
      <xdr:row>11</xdr:row>
      <xdr:rowOff>7619</xdr:rowOff>
    </xdr:from>
    <xdr:to>
      <xdr:col>12</xdr:col>
      <xdr:colOff>601980</xdr:colOff>
      <xdr:row>25</xdr:row>
      <xdr:rowOff>156882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CBE52F8-B0CC-4B6B-853C-95903A9511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495300</xdr:colOff>
      <xdr:row>1</xdr:row>
      <xdr:rowOff>167640</xdr:rowOff>
    </xdr:from>
    <xdr:to>
      <xdr:col>2</xdr:col>
      <xdr:colOff>308260</xdr:colOff>
      <xdr:row>7</xdr:row>
      <xdr:rowOff>1756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6C1123BC-0616-4992-8115-56273F843D13}"/>
            </a:ext>
          </a:extLst>
        </xdr:cNvPr>
        <xdr:cNvGrpSpPr/>
      </xdr:nvGrpSpPr>
      <xdr:grpSpPr>
        <a:xfrm>
          <a:off x="495300" y="350091"/>
          <a:ext cx="1036453" cy="928820"/>
          <a:chOff x="0" y="0"/>
          <a:chExt cx="1032405" cy="931416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37419468-A00D-496D-B34F-D544202ADC07}"/>
              </a:ext>
            </a:extLst>
          </xdr:cNvPr>
          <xdr:cNvSpPr/>
        </xdr:nvSpPr>
        <xdr:spPr>
          <a:xfrm>
            <a:off x="990346" y="745180"/>
            <a:ext cx="42059" cy="186236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marR="4445" indent="-6350" algn="l">
              <a:lnSpc>
                <a:spcPct val="107000"/>
              </a:lnSpc>
              <a:spcAft>
                <a:spcPts val="800"/>
              </a:spcAft>
            </a:pPr>
            <a:r>
              <a:rPr lang="en-US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US" sz="12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1" name="Shape 154">
            <a:extLst>
              <a:ext uri="{FF2B5EF4-FFF2-40B4-BE49-F238E27FC236}">
                <a16:creationId xmlns:a16="http://schemas.microsoft.com/office/drawing/2014/main" id="{D89A55CB-E47B-4F25-82F3-91C257654985}"/>
              </a:ext>
            </a:extLst>
          </xdr:cNvPr>
          <xdr:cNvSpPr/>
        </xdr:nvSpPr>
        <xdr:spPr>
          <a:xfrm>
            <a:off x="0" y="421132"/>
            <a:ext cx="439928" cy="436625"/>
          </a:xfrm>
          <a:custGeom>
            <a:avLst/>
            <a:gdLst/>
            <a:ahLst/>
            <a:cxnLst/>
            <a:rect l="0" t="0" r="0" b="0"/>
            <a:pathLst>
              <a:path w="439928" h="436625">
                <a:moveTo>
                  <a:pt x="27115" y="0"/>
                </a:moveTo>
                <a:lnTo>
                  <a:pt x="36957" y="0"/>
                </a:lnTo>
                <a:lnTo>
                  <a:pt x="52476" y="253"/>
                </a:lnTo>
                <a:lnTo>
                  <a:pt x="98743" y="4445"/>
                </a:lnTo>
                <a:lnTo>
                  <a:pt x="159499" y="16763"/>
                </a:lnTo>
                <a:lnTo>
                  <a:pt x="162116" y="17525"/>
                </a:lnTo>
                <a:lnTo>
                  <a:pt x="249365" y="14097"/>
                </a:lnTo>
                <a:lnTo>
                  <a:pt x="365760" y="52197"/>
                </a:lnTo>
                <a:lnTo>
                  <a:pt x="409448" y="174244"/>
                </a:lnTo>
                <a:lnTo>
                  <a:pt x="411607" y="244348"/>
                </a:lnTo>
                <a:lnTo>
                  <a:pt x="424561" y="285114"/>
                </a:lnTo>
                <a:lnTo>
                  <a:pt x="435610" y="346837"/>
                </a:lnTo>
                <a:lnTo>
                  <a:pt x="438404" y="393700"/>
                </a:lnTo>
                <a:lnTo>
                  <a:pt x="439801" y="416940"/>
                </a:lnTo>
                <a:lnTo>
                  <a:pt x="439928" y="436625"/>
                </a:lnTo>
                <a:lnTo>
                  <a:pt x="357632" y="436625"/>
                </a:lnTo>
                <a:lnTo>
                  <a:pt x="308102" y="429513"/>
                </a:lnTo>
                <a:lnTo>
                  <a:pt x="259283" y="417195"/>
                </a:lnTo>
                <a:lnTo>
                  <a:pt x="214363" y="400176"/>
                </a:lnTo>
                <a:lnTo>
                  <a:pt x="173330" y="378333"/>
                </a:lnTo>
                <a:lnTo>
                  <a:pt x="136246" y="351917"/>
                </a:lnTo>
                <a:lnTo>
                  <a:pt x="103162" y="320801"/>
                </a:lnTo>
                <a:lnTo>
                  <a:pt x="61709" y="266064"/>
                </a:lnTo>
                <a:lnTo>
                  <a:pt x="33083" y="209296"/>
                </a:lnTo>
                <a:lnTo>
                  <a:pt x="14922" y="153924"/>
                </a:lnTo>
                <a:lnTo>
                  <a:pt x="4915" y="103759"/>
                </a:lnTo>
                <a:lnTo>
                  <a:pt x="724" y="62611"/>
                </a:lnTo>
                <a:lnTo>
                  <a:pt x="0" y="33909"/>
                </a:lnTo>
                <a:lnTo>
                  <a:pt x="406" y="21463"/>
                </a:lnTo>
                <a:lnTo>
                  <a:pt x="1778" y="1777"/>
                </a:lnTo>
                <a:lnTo>
                  <a:pt x="27115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164D3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  <xdr:sp macro="" textlink="">
        <xdr:nvSpPr>
          <xdr:cNvPr id="12" name="Shape 155">
            <a:extLst>
              <a:ext uri="{FF2B5EF4-FFF2-40B4-BE49-F238E27FC236}">
                <a16:creationId xmlns:a16="http://schemas.microsoft.com/office/drawing/2014/main" id="{7B963F1F-FA94-45C0-9224-3F483E48B88A}"/>
              </a:ext>
            </a:extLst>
          </xdr:cNvPr>
          <xdr:cNvSpPr/>
        </xdr:nvSpPr>
        <xdr:spPr>
          <a:xfrm>
            <a:off x="335280" y="0"/>
            <a:ext cx="375666" cy="619633"/>
          </a:xfrm>
          <a:custGeom>
            <a:avLst/>
            <a:gdLst/>
            <a:ahLst/>
            <a:cxnLst/>
            <a:rect l="0" t="0" r="0" b="0"/>
            <a:pathLst>
              <a:path w="375666" h="619633">
                <a:moveTo>
                  <a:pt x="153924" y="0"/>
                </a:moveTo>
                <a:lnTo>
                  <a:pt x="168910" y="12954"/>
                </a:lnTo>
                <a:lnTo>
                  <a:pt x="177927" y="21463"/>
                </a:lnTo>
                <a:lnTo>
                  <a:pt x="197739" y="42291"/>
                </a:lnTo>
                <a:lnTo>
                  <a:pt x="213868" y="62103"/>
                </a:lnTo>
                <a:lnTo>
                  <a:pt x="223901" y="74422"/>
                </a:lnTo>
                <a:lnTo>
                  <a:pt x="252222" y="116840"/>
                </a:lnTo>
                <a:lnTo>
                  <a:pt x="256159" y="124587"/>
                </a:lnTo>
                <a:lnTo>
                  <a:pt x="320167" y="183769"/>
                </a:lnTo>
                <a:lnTo>
                  <a:pt x="375666" y="293116"/>
                </a:lnTo>
                <a:lnTo>
                  <a:pt x="320167" y="410210"/>
                </a:lnTo>
                <a:lnTo>
                  <a:pt x="272034" y="461518"/>
                </a:lnTo>
                <a:lnTo>
                  <a:pt x="265557" y="475869"/>
                </a:lnTo>
                <a:lnTo>
                  <a:pt x="239776" y="519049"/>
                </a:lnTo>
                <a:lnTo>
                  <a:pt x="213360" y="554355"/>
                </a:lnTo>
                <a:lnTo>
                  <a:pt x="207899" y="561467"/>
                </a:lnTo>
                <a:lnTo>
                  <a:pt x="170053" y="603250"/>
                </a:lnTo>
                <a:lnTo>
                  <a:pt x="153924" y="619633"/>
                </a:lnTo>
                <a:lnTo>
                  <a:pt x="137795" y="603250"/>
                </a:lnTo>
                <a:lnTo>
                  <a:pt x="99822" y="561467"/>
                </a:lnTo>
                <a:lnTo>
                  <a:pt x="68072" y="519049"/>
                </a:lnTo>
                <a:lnTo>
                  <a:pt x="42291" y="475869"/>
                </a:lnTo>
                <a:lnTo>
                  <a:pt x="22479" y="432054"/>
                </a:lnTo>
                <a:lnTo>
                  <a:pt x="8890" y="387604"/>
                </a:lnTo>
                <a:lnTo>
                  <a:pt x="1397" y="342646"/>
                </a:lnTo>
                <a:lnTo>
                  <a:pt x="0" y="297307"/>
                </a:lnTo>
                <a:lnTo>
                  <a:pt x="9398" y="229235"/>
                </a:lnTo>
                <a:lnTo>
                  <a:pt x="29337" y="168783"/>
                </a:lnTo>
                <a:lnTo>
                  <a:pt x="55626" y="116840"/>
                </a:lnTo>
                <a:lnTo>
                  <a:pt x="83947" y="74422"/>
                </a:lnTo>
                <a:lnTo>
                  <a:pt x="110109" y="42291"/>
                </a:lnTo>
                <a:lnTo>
                  <a:pt x="138938" y="12954"/>
                </a:lnTo>
                <a:lnTo>
                  <a:pt x="153924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164D3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  <xdr:sp macro="" textlink="">
        <xdr:nvSpPr>
          <xdr:cNvPr id="13" name="Shape 156">
            <a:extLst>
              <a:ext uri="{FF2B5EF4-FFF2-40B4-BE49-F238E27FC236}">
                <a16:creationId xmlns:a16="http://schemas.microsoft.com/office/drawing/2014/main" id="{48C21D67-3E9F-488B-ADDA-B690B74C3B3A}"/>
              </a:ext>
            </a:extLst>
          </xdr:cNvPr>
          <xdr:cNvSpPr/>
        </xdr:nvSpPr>
        <xdr:spPr>
          <a:xfrm>
            <a:off x="549402" y="421132"/>
            <a:ext cx="440055" cy="436625"/>
          </a:xfrm>
          <a:custGeom>
            <a:avLst/>
            <a:gdLst/>
            <a:ahLst/>
            <a:cxnLst/>
            <a:rect l="0" t="0" r="0" b="0"/>
            <a:pathLst>
              <a:path w="440055" h="436625">
                <a:moveTo>
                  <a:pt x="403098" y="0"/>
                </a:moveTo>
                <a:lnTo>
                  <a:pt x="412877" y="0"/>
                </a:lnTo>
                <a:lnTo>
                  <a:pt x="438150" y="1777"/>
                </a:lnTo>
                <a:lnTo>
                  <a:pt x="439674" y="21463"/>
                </a:lnTo>
                <a:lnTo>
                  <a:pt x="440055" y="33909"/>
                </a:lnTo>
                <a:lnTo>
                  <a:pt x="439674" y="45593"/>
                </a:lnTo>
                <a:lnTo>
                  <a:pt x="439293" y="62611"/>
                </a:lnTo>
                <a:lnTo>
                  <a:pt x="435102" y="103759"/>
                </a:lnTo>
                <a:lnTo>
                  <a:pt x="425069" y="153924"/>
                </a:lnTo>
                <a:lnTo>
                  <a:pt x="406908" y="209169"/>
                </a:lnTo>
                <a:lnTo>
                  <a:pt x="378333" y="266064"/>
                </a:lnTo>
                <a:lnTo>
                  <a:pt x="336804" y="320801"/>
                </a:lnTo>
                <a:lnTo>
                  <a:pt x="303784" y="351917"/>
                </a:lnTo>
                <a:lnTo>
                  <a:pt x="266700" y="378333"/>
                </a:lnTo>
                <a:lnTo>
                  <a:pt x="237744" y="393700"/>
                </a:lnTo>
                <a:lnTo>
                  <a:pt x="225679" y="400176"/>
                </a:lnTo>
                <a:lnTo>
                  <a:pt x="180721" y="417195"/>
                </a:lnTo>
                <a:lnTo>
                  <a:pt x="131953" y="429513"/>
                </a:lnTo>
                <a:lnTo>
                  <a:pt x="82296" y="436625"/>
                </a:lnTo>
                <a:lnTo>
                  <a:pt x="0" y="436625"/>
                </a:lnTo>
                <a:lnTo>
                  <a:pt x="254" y="416940"/>
                </a:lnTo>
                <a:lnTo>
                  <a:pt x="4445" y="346837"/>
                </a:lnTo>
                <a:lnTo>
                  <a:pt x="15494" y="285114"/>
                </a:lnTo>
                <a:lnTo>
                  <a:pt x="28448" y="244221"/>
                </a:lnTo>
                <a:lnTo>
                  <a:pt x="30607" y="174244"/>
                </a:lnTo>
                <a:lnTo>
                  <a:pt x="74168" y="52197"/>
                </a:lnTo>
                <a:lnTo>
                  <a:pt x="190627" y="14097"/>
                </a:lnTo>
                <a:lnTo>
                  <a:pt x="277876" y="17525"/>
                </a:lnTo>
                <a:lnTo>
                  <a:pt x="280543" y="16763"/>
                </a:lnTo>
                <a:lnTo>
                  <a:pt x="341249" y="4445"/>
                </a:lnTo>
                <a:lnTo>
                  <a:pt x="403098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164D3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0</xdr:colOff>
      <xdr:row>25</xdr:row>
      <xdr:rowOff>176157</xdr:rowOff>
    </xdr:from>
    <xdr:to>
      <xdr:col>7</xdr:col>
      <xdr:colOff>201705</xdr:colOff>
      <xdr:row>40</xdr:row>
      <xdr:rowOff>160917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F2EC517-3959-4189-BAF6-F5D84C1FF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207981</xdr:colOff>
      <xdr:row>26</xdr:row>
      <xdr:rowOff>11205</xdr:rowOff>
    </xdr:from>
    <xdr:to>
      <xdr:col>12</xdr:col>
      <xdr:colOff>593912</xdr:colOff>
      <xdr:row>40</xdr:row>
      <xdr:rowOff>138504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554E12A-DCCE-4110-A728-8BB74FD67B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1341120</xdr:colOff>
      <xdr:row>11</xdr:row>
      <xdr:rowOff>140970</xdr:rowOff>
    </xdr:from>
    <xdr:to>
      <xdr:col>6</xdr:col>
      <xdr:colOff>617220</xdr:colOff>
      <xdr:row>26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AE8491-F6F9-4E14-BDCD-742FA8D275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va" refreshedDate="45834.989604050927" createdVersion="7" refreshedVersion="7" minRefreshableVersion="3" recordCount="297" xr:uid="{80FBCA0B-F9D8-4506-851C-CBFD89EB1E31}">
  <cacheSource type="worksheet">
    <worksheetSource ref="A1:L298" sheet="Prodaja 1"/>
  </cacheSource>
  <cacheFields count="13">
    <cacheField name="ID klijenta" numFmtId="0">
      <sharedItems containsString="0" containsBlank="1" containsNumber="1" containsInteger="1" minValue="108" maxValue="195"/>
    </cacheField>
    <cacheField name="Datum kupovine" numFmtId="166">
      <sharedItems containsNonDate="0" containsDate="1" containsString="0" containsBlank="1" minDate="2024-01-01T00:00:00" maxDate="2024-03-30T00:00:00" count="86">
        <d v="2024-01-16T00:00:00"/>
        <d v="2024-01-17T00:00:00"/>
        <d v="2024-03-10T00:00:00"/>
        <d v="2024-03-12T00:00:00"/>
        <d v="2024-01-30T00:00:00"/>
        <d v="2024-02-14T00:00:00"/>
        <d v="2024-02-06T00:00:00"/>
        <d v="2024-01-24T00:00:00"/>
        <d v="2024-01-19T00:00:00"/>
        <d v="2024-02-25T00:00:00"/>
        <d v="2024-03-02T00:00:00"/>
        <d v="2024-01-10T00:00:00"/>
        <d v="2024-02-08T00:00:00"/>
        <d v="2024-03-22T00:00:00"/>
        <d v="2024-03-28T00:00:00"/>
        <d v="2024-02-27T00:00:00"/>
        <d v="2024-02-07T00:00:00"/>
        <d v="2024-03-24T00:00:00"/>
        <d v="2024-01-29T00:00:00"/>
        <d v="2024-03-19T00:00:00"/>
        <d v="2024-01-12T00:00:00"/>
        <d v="2024-01-23T00:00:00"/>
        <d v="2024-03-16T00:00:00"/>
        <d v="2024-02-11T00:00:00"/>
        <d v="2024-03-29T00:00:00"/>
        <d v="2024-03-08T00:00:00"/>
        <d v="2024-01-11T00:00:00"/>
        <d v="2024-01-28T00:00:00"/>
        <d v="2024-03-15T00:00:00"/>
        <d v="2024-02-01T00:00:00"/>
        <d v="2024-01-08T00:00:00"/>
        <d v="2024-01-15T00:00:00"/>
        <d v="2024-03-01T00:00:00"/>
        <d v="2024-03-07T00:00:00"/>
        <d v="2024-03-13T00:00:00"/>
        <d v="2024-01-14T00:00:00"/>
        <d v="2024-03-17T00:00:00"/>
        <d v="2024-02-29T00:00:00"/>
        <d v="2024-02-20T00:00:00"/>
        <d v="2024-03-26T00:00:00"/>
        <d v="2024-02-09T00:00:00"/>
        <d v="2024-02-28T00:00:00"/>
        <d v="2024-02-05T00:00:00"/>
        <d v="2024-01-13T00:00:00"/>
        <d v="2024-03-27T00:00:00"/>
        <d v="2024-02-13T00:00:00"/>
        <d v="2024-03-11T00:00:00"/>
        <d v="2024-03-23T00:00:00"/>
        <d v="2024-03-18T00:00:00"/>
        <d v="2024-01-22T00:00:00"/>
        <d v="2024-01-02T00:00:00"/>
        <d v="2024-02-02T00:00:00"/>
        <d v="2024-01-25T00:00:00"/>
        <d v="2024-01-01T00:00:00"/>
        <d v="2024-02-10T00:00:00"/>
        <d v="2024-03-05T00:00:00"/>
        <d v="2024-01-03T00:00:00"/>
        <d v="2024-01-04T00:00:00"/>
        <d v="2024-03-14T00:00:00"/>
        <d v="2024-01-20T00:00:00"/>
        <d v="2024-02-24T00:00:00"/>
        <d v="2024-02-04T00:00:00"/>
        <d v="2024-01-07T00:00:00"/>
        <d v="2024-01-31T00:00:00"/>
        <d v="2024-03-03T00:00:00"/>
        <d v="2024-01-09T00:00:00"/>
        <d v="2024-02-16T00:00:00"/>
        <d v="2024-02-12T00:00:00"/>
        <d v="2024-03-09T00:00:00"/>
        <d v="2024-02-18T00:00:00"/>
        <d v="2024-01-27T00:00:00"/>
        <d v="2024-03-04T00:00:00"/>
        <d v="2024-02-17T00:00:00"/>
        <d v="2024-03-06T00:00:00"/>
        <d v="2024-01-21T00:00:00"/>
        <d v="2024-01-05T00:00:00"/>
        <d v="2024-01-26T00:00:00"/>
        <d v="2024-01-18T00:00:00"/>
        <d v="2024-02-19T00:00:00"/>
        <d v="2024-02-21T00:00:00"/>
        <d v="2024-03-21T00:00:00"/>
        <d v="2024-02-15T00:00:00"/>
        <d v="2024-02-22T00:00:00"/>
        <d v="2024-01-06T00:00:00"/>
        <d v="2024-02-23T00:00:00"/>
        <m/>
      </sharedItems>
      <fieldGroup par="12" base="1">
        <rangePr groupBy="days" startDate="2024-01-01T00:00:00" endDate="2024-03-30T00:00:00"/>
        <groupItems count="368">
          <s v="(blank)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/30/2024"/>
        </groupItems>
      </fieldGroup>
    </cacheField>
    <cacheField name="Prodavac" numFmtId="0">
      <sharedItems containsString="0" containsBlank="1" containsNumber="1" containsInteger="1" minValue="171444" maxValue="688897" count="6">
        <n v="466126"/>
        <n v="443480"/>
        <n v="688897"/>
        <n v="243994"/>
        <n v="171444"/>
        <m/>
      </sharedItems>
    </cacheField>
    <cacheField name="Šifra proizvoda" numFmtId="0">
      <sharedItems containsBlank="1"/>
    </cacheField>
    <cacheField name="Broj komada proizvoda " numFmtId="0">
      <sharedItems containsString="0" containsBlank="1" containsNumber="1" containsInteger="1" minValue="1" maxValue="50"/>
    </cacheField>
    <cacheField name="Broj fakture" numFmtId="0">
      <sharedItems containsBlank="1"/>
    </cacheField>
    <cacheField name="Kategorija" numFmtId="0">
      <sharedItems containsBlank="1" count="6">
        <s v="Nameštaj za dnevnu sobu"/>
        <s v="Nameštaj za radnu sobu"/>
        <s v="Kuhinja"/>
        <s v="Nameštaj za spavaću sobu"/>
        <s v="Trpezarija"/>
        <m/>
      </sharedItems>
    </cacheField>
    <cacheField name="Naziv proizvoda" numFmtId="0">
      <sharedItems containsBlank="1"/>
    </cacheField>
    <cacheField name="Prezime I ime prodavca" numFmtId="0">
      <sharedItems containsBlank="1"/>
    </cacheField>
    <cacheField name="Naziv klijenta" numFmtId="0">
      <sharedItems containsBlank="1" count="11">
        <s v="Moderni Dom"/>
        <s v="Udobni Kutak"/>
        <s v="Dom &amp; Dekor"/>
        <s v="Estetski Kutak"/>
        <s v="Kuća- Uređenje i Dizajn"/>
        <s v="Elegantni Enterijeri"/>
        <s v="Sofistikacija Doma"/>
        <s v="Prostor za Uživanje"/>
        <s v="Luksuzni Dizajn"/>
        <s v="Stilski Stan"/>
        <m/>
      </sharedItems>
    </cacheField>
    <cacheField name="Region" numFmtId="0">
      <sharedItems containsBlank="1" count="8">
        <s v="Srbija"/>
        <s v="Južni region"/>
        <s v="Beogradski region"/>
        <s v="Južni i Šumadijski region"/>
        <s v="Šumadija"/>
        <s v="Vojvodina"/>
        <s v="Vojvodina i Beograd"/>
        <m/>
      </sharedItems>
    </cacheField>
    <cacheField name="obim prodaje" numFmtId="0">
      <sharedItems containsString="0" containsBlank="1" containsNumber="1" containsInteger="1" minValue="7762" maxValue="7762"/>
    </cacheField>
    <cacheField name="Months" numFmtId="0" databaseField="0">
      <fieldGroup base="1">
        <rangePr groupBy="months" startDate="2024-01-01T00:00:00" endDate="2024-03-30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30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va" refreshedDate="45835.411375347219" createdVersion="7" refreshedVersion="7" minRefreshableVersion="3" recordCount="296" xr:uid="{331B3D59-0F0D-4462-BE72-7B4D28705B2B}">
  <cacheSource type="worksheet">
    <worksheetSource ref="A1:L297" sheet="Prodaja 1"/>
  </cacheSource>
  <cacheFields count="12">
    <cacheField name="ID klijenta" numFmtId="0">
      <sharedItems containsSemiMixedTypes="0" containsString="0" containsNumber="1" containsInteger="1" minValue="108" maxValue="195"/>
    </cacheField>
    <cacheField name="Datum kupovine" numFmtId="166">
      <sharedItems containsSemiMixedTypes="0" containsNonDate="0" containsDate="1" containsString="0" minDate="2024-01-01T00:00:00" maxDate="2024-03-30T00:00:00"/>
    </cacheField>
    <cacheField name="Prodavac" numFmtId="0">
      <sharedItems containsSemiMixedTypes="0" containsString="0" containsNumber="1" containsInteger="1" minValue="171444" maxValue="688897" count="5">
        <n v="466126"/>
        <n v="443480"/>
        <n v="688897"/>
        <n v="243994"/>
        <n v="171444"/>
      </sharedItems>
    </cacheField>
    <cacheField name="Šifra proizvoda" numFmtId="0">
      <sharedItems/>
    </cacheField>
    <cacheField name="Broj komada proizvoda " numFmtId="0">
      <sharedItems containsSemiMixedTypes="0" containsString="0" containsNumber="1" containsInteger="1" minValue="1" maxValue="50"/>
    </cacheField>
    <cacheField name="Broj fakture" numFmtId="0">
      <sharedItems/>
    </cacheField>
    <cacheField name="Kategorija" numFmtId="0">
      <sharedItems count="5">
        <s v="Nameštaj za dnevnu sobu"/>
        <s v="Nameštaj za radnu sobu"/>
        <s v="Kuhinja"/>
        <s v="Nameštaj za spavaću sobu"/>
        <s v="Trpezarija"/>
      </sharedItems>
    </cacheField>
    <cacheField name="Naziv proizvoda" numFmtId="0">
      <sharedItems/>
    </cacheField>
    <cacheField name="Prezime I ime prodavca" numFmtId="0">
      <sharedItems/>
    </cacheField>
    <cacheField name="Naziv klijenta" numFmtId="0">
      <sharedItems/>
    </cacheField>
    <cacheField name="Region" numFmtId="0">
      <sharedItems/>
    </cacheField>
    <cacheField name="obim prodaje" numFmtId="0">
      <sharedItems containsString="0" containsBlank="1" containsNumber="1" containsInteger="1" minValue="7762" maxValue="77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">
  <r>
    <n v="195"/>
    <x v="0"/>
    <x v="0"/>
    <s v="OT-004"/>
    <n v="29"/>
    <s v="SO45080"/>
    <x v="0"/>
    <s v="Radni sto"/>
    <s v="Anić Antonina"/>
    <x v="0"/>
    <x v="0"/>
    <n v="7762"/>
  </r>
  <r>
    <n v="153"/>
    <x v="1"/>
    <x v="1"/>
    <s v="RS-009"/>
    <n v="7"/>
    <s v="SO45079"/>
    <x v="1"/>
    <s v="Rasklopiva fotelja"/>
    <s v="Jovanović Jelica"/>
    <x v="1"/>
    <x v="1"/>
    <m/>
  </r>
  <r>
    <n v="153"/>
    <x v="2"/>
    <x v="2"/>
    <s v="RF-003"/>
    <n v="12"/>
    <s v="SO45082"/>
    <x v="0"/>
    <s v="Ogledalo za zid"/>
    <s v="Ognjanović Jovan"/>
    <x v="1"/>
    <x v="1"/>
    <m/>
  </r>
  <r>
    <n v="153"/>
    <x v="3"/>
    <x v="2"/>
    <s v="OZ-011"/>
    <n v="34"/>
    <s v="MO45081"/>
    <x v="0"/>
    <s v="Viseća polica"/>
    <s v="Ognjanović Jovan"/>
    <x v="1"/>
    <x v="1"/>
    <m/>
  </r>
  <r>
    <n v="108"/>
    <x v="4"/>
    <x v="0"/>
    <s v="VP-013"/>
    <n v="34"/>
    <s v="MO45083"/>
    <x v="2"/>
    <s v="Ormarić za TV"/>
    <s v="Anić Antonina"/>
    <x v="2"/>
    <x v="2"/>
    <m/>
  </r>
  <r>
    <n v="151"/>
    <x v="5"/>
    <x v="1"/>
    <s v="OT-004"/>
    <n v="41"/>
    <s v="SO45084"/>
    <x v="0"/>
    <s v="Ogledalo za zid"/>
    <s v="Jovanović Jelica"/>
    <x v="3"/>
    <x v="0"/>
    <m/>
  </r>
  <r>
    <n v="186"/>
    <x v="6"/>
    <x v="3"/>
    <s v="OZ-011"/>
    <n v="26"/>
    <s v="MO45086"/>
    <x v="0"/>
    <s v="Polica za knjige"/>
    <s v="Vučković Sanja"/>
    <x v="4"/>
    <x v="2"/>
    <m/>
  </r>
  <r>
    <n v="179"/>
    <x v="7"/>
    <x v="3"/>
    <s v="PK-010"/>
    <n v="12"/>
    <s v="MO45085"/>
    <x v="0"/>
    <s v="Komoda"/>
    <s v="Vučković Sanja"/>
    <x v="5"/>
    <x v="3"/>
    <m/>
  </r>
  <r>
    <n v="151"/>
    <x v="6"/>
    <x v="1"/>
    <s v="KO-008"/>
    <n v="49"/>
    <s v="SO45093"/>
    <x v="0"/>
    <s v="Tabure"/>
    <s v="Jovanović Jelica"/>
    <x v="3"/>
    <x v="0"/>
    <m/>
  </r>
  <r>
    <n v="151"/>
    <x v="8"/>
    <x v="1"/>
    <s v="TA-012"/>
    <n v="41"/>
    <s v="SO45090"/>
    <x v="0"/>
    <s v="Klub sto"/>
    <s v="Jovanović Jelica"/>
    <x v="3"/>
    <x v="0"/>
    <m/>
  </r>
  <r>
    <n v="163"/>
    <x v="9"/>
    <x v="1"/>
    <s v="KS-001"/>
    <n v="36"/>
    <s v="SO45088"/>
    <x v="0"/>
    <s v="Noćni ormarić"/>
    <s v="Jovanović Jelica"/>
    <x v="6"/>
    <x v="4"/>
    <m/>
  </r>
  <r>
    <n v="153"/>
    <x v="10"/>
    <x v="2"/>
    <s v="NO-007"/>
    <n v="5"/>
    <s v="SO45092"/>
    <x v="3"/>
    <s v="Polica za knjige"/>
    <s v="Ognjanović Jovan"/>
    <x v="1"/>
    <x v="1"/>
    <m/>
  </r>
  <r>
    <n v="151"/>
    <x v="11"/>
    <x v="3"/>
    <s v="PK-010"/>
    <n v="33"/>
    <s v="SO45089"/>
    <x v="0"/>
    <s v="Ormarić za TV"/>
    <s v="Vučković Sanja"/>
    <x v="3"/>
    <x v="0"/>
    <m/>
  </r>
  <r>
    <n v="152"/>
    <x v="12"/>
    <x v="4"/>
    <s v="OT-004"/>
    <n v="46"/>
    <s v="SO45091"/>
    <x v="0"/>
    <s v="Rasklopiva fotelja"/>
    <s v="Nenadović Novak"/>
    <x v="7"/>
    <x v="0"/>
    <m/>
  </r>
  <r>
    <n v="108"/>
    <x v="13"/>
    <x v="0"/>
    <s v="RF-003"/>
    <n v="2"/>
    <s v="SO45087"/>
    <x v="0"/>
    <s v="Rasklopiva fotelja"/>
    <s v="Anić Antonina"/>
    <x v="2"/>
    <x v="2"/>
    <m/>
  </r>
  <r>
    <n v="108"/>
    <x v="13"/>
    <x v="0"/>
    <s v="RF-003"/>
    <n v="31"/>
    <s v="SO45094"/>
    <x v="0"/>
    <s v="Klub sto"/>
    <s v="Anić Antonina"/>
    <x v="2"/>
    <x v="2"/>
    <m/>
  </r>
  <r>
    <n v="127"/>
    <x v="3"/>
    <x v="4"/>
    <s v="KS-001"/>
    <n v="21"/>
    <s v="SO45096"/>
    <x v="0"/>
    <s v="Tabure"/>
    <s v="Nenadović Novak"/>
    <x v="8"/>
    <x v="5"/>
    <m/>
  </r>
  <r>
    <n v="179"/>
    <x v="14"/>
    <x v="3"/>
    <s v="TA-012"/>
    <n v="23"/>
    <s v="SO45097"/>
    <x v="0"/>
    <s v="Polica za knjige"/>
    <s v="Vučković Sanja"/>
    <x v="5"/>
    <x v="3"/>
    <m/>
  </r>
  <r>
    <n v="157"/>
    <x v="15"/>
    <x v="2"/>
    <s v="PK-010"/>
    <n v="19"/>
    <s v="SO45098"/>
    <x v="0"/>
    <s v="Rasklopiva fotelja"/>
    <s v="Ognjanović Jovan"/>
    <x v="9"/>
    <x v="6"/>
    <m/>
  </r>
  <r>
    <n v="163"/>
    <x v="16"/>
    <x v="1"/>
    <s v="RF-003"/>
    <n v="49"/>
    <s v="MO45095"/>
    <x v="0"/>
    <s v="Ogledalo za zid"/>
    <s v="Jovanović Jelica"/>
    <x v="6"/>
    <x v="4"/>
    <m/>
  </r>
  <r>
    <n v="186"/>
    <x v="8"/>
    <x v="3"/>
    <s v="OZ-011"/>
    <n v="31"/>
    <s v="SO45099"/>
    <x v="0"/>
    <s v="Rasklopiva fotelja"/>
    <s v="Vučković Sanja"/>
    <x v="4"/>
    <x v="2"/>
    <m/>
  </r>
  <r>
    <n v="186"/>
    <x v="17"/>
    <x v="3"/>
    <s v="RF-003"/>
    <n v="28"/>
    <s v="SO45101"/>
    <x v="0"/>
    <s v="Stolica za ručavanje"/>
    <s v="Vučković Sanja"/>
    <x v="4"/>
    <x v="2"/>
    <m/>
  </r>
  <r>
    <n v="151"/>
    <x v="6"/>
    <x v="3"/>
    <s v="SR-006"/>
    <n v="43"/>
    <s v="SO45100"/>
    <x v="4"/>
    <s v="Stolica za ručavanje"/>
    <s v="Vučković Sanja"/>
    <x v="3"/>
    <x v="0"/>
    <m/>
  </r>
  <r>
    <n v="152"/>
    <x v="18"/>
    <x v="4"/>
    <s v="SR-006"/>
    <n v="8"/>
    <s v="SO45102"/>
    <x v="4"/>
    <s v="Klub sto"/>
    <s v="Nenadović Novak"/>
    <x v="7"/>
    <x v="0"/>
    <m/>
  </r>
  <r>
    <n v="163"/>
    <x v="8"/>
    <x v="1"/>
    <s v="KS-001"/>
    <n v="47"/>
    <s v="SO45104"/>
    <x v="0"/>
    <s v="Kuhinjsko ostrvo"/>
    <s v="Jovanović Jelica"/>
    <x v="6"/>
    <x v="4"/>
    <m/>
  </r>
  <r>
    <n v="179"/>
    <x v="19"/>
    <x v="3"/>
    <s v="KO-014"/>
    <n v="50"/>
    <s v="MO45108"/>
    <x v="2"/>
    <s v="Kuhinjsko ostrvo"/>
    <s v="Vučković Sanja"/>
    <x v="5"/>
    <x v="3"/>
    <m/>
  </r>
  <r>
    <n v="179"/>
    <x v="20"/>
    <x v="3"/>
    <s v="KO-014"/>
    <n v="26"/>
    <s v="SO45105"/>
    <x v="2"/>
    <s v="Tabure"/>
    <s v="Vučković Sanja"/>
    <x v="5"/>
    <x v="3"/>
    <m/>
  </r>
  <r>
    <n v="195"/>
    <x v="21"/>
    <x v="0"/>
    <s v="TA-012"/>
    <n v="33"/>
    <s v="SO45103"/>
    <x v="0"/>
    <s v="Noćni ormarić"/>
    <s v="Anić Antonina"/>
    <x v="0"/>
    <x v="0"/>
    <m/>
  </r>
  <r>
    <n v="163"/>
    <x v="13"/>
    <x v="1"/>
    <s v="NO-007"/>
    <n v="47"/>
    <s v="SO45106"/>
    <x v="3"/>
    <s v="Tabure"/>
    <s v="Jovanović Jelica"/>
    <x v="6"/>
    <x v="4"/>
    <m/>
  </r>
  <r>
    <n v="152"/>
    <x v="22"/>
    <x v="4"/>
    <s v="TA-012"/>
    <n v="22"/>
    <s v="SO45107"/>
    <x v="0"/>
    <s v="Tabure"/>
    <s v="Nenadović Novak"/>
    <x v="7"/>
    <x v="0"/>
    <m/>
  </r>
  <r>
    <n v="179"/>
    <x v="23"/>
    <x v="3"/>
    <s v="TA-012"/>
    <n v="12"/>
    <s v="MO45109"/>
    <x v="0"/>
    <s v="Ogledalo za zid"/>
    <s v="Vučković Sanja"/>
    <x v="5"/>
    <x v="3"/>
    <m/>
  </r>
  <r>
    <n v="108"/>
    <x v="24"/>
    <x v="0"/>
    <s v="OZ-011"/>
    <n v="42"/>
    <s v="SO45112"/>
    <x v="0"/>
    <s v="Rasklopiva fotelja"/>
    <s v="Anić Antonina"/>
    <x v="2"/>
    <x v="2"/>
    <m/>
  </r>
  <r>
    <n v="163"/>
    <x v="11"/>
    <x v="1"/>
    <s v="RF-003"/>
    <n v="6"/>
    <s v="SO45111"/>
    <x v="0"/>
    <s v="Noćni ormarić"/>
    <s v="Jovanović Jelica"/>
    <x v="6"/>
    <x v="4"/>
    <m/>
  </r>
  <r>
    <n v="127"/>
    <x v="25"/>
    <x v="4"/>
    <s v="NO-007"/>
    <n v="8"/>
    <s v="SO45110"/>
    <x v="3"/>
    <s v="Stolica za ručavanje"/>
    <s v="Nenadović Novak"/>
    <x v="8"/>
    <x v="5"/>
    <m/>
  </r>
  <r>
    <n v="157"/>
    <x v="26"/>
    <x v="2"/>
    <s v="SR-006"/>
    <n v="14"/>
    <s v="SO45119"/>
    <x v="4"/>
    <s v="Stolica za ručavanje"/>
    <s v="Ognjanović Jovan"/>
    <x v="9"/>
    <x v="6"/>
    <m/>
  </r>
  <r>
    <n v="157"/>
    <x v="27"/>
    <x v="2"/>
    <s v="SR-006"/>
    <n v="3"/>
    <s v="MO45117"/>
    <x v="4"/>
    <s v="Rasklopiva fotelja"/>
    <s v="Ognjanović Jovan"/>
    <x v="9"/>
    <x v="6"/>
    <m/>
  </r>
  <r>
    <n v="153"/>
    <x v="5"/>
    <x v="2"/>
    <s v="RF-003"/>
    <n v="33"/>
    <s v="SO45116"/>
    <x v="0"/>
    <s v="Tabure"/>
    <s v="Ognjanović Jovan"/>
    <x v="1"/>
    <x v="1"/>
    <m/>
  </r>
  <r>
    <n v="195"/>
    <x v="28"/>
    <x v="0"/>
    <s v="TA-012"/>
    <n v="44"/>
    <s v="SO45114"/>
    <x v="0"/>
    <s v="Sofa"/>
    <s v="Anić Antonina"/>
    <x v="0"/>
    <x v="0"/>
    <m/>
  </r>
  <r>
    <n v="153"/>
    <x v="3"/>
    <x v="2"/>
    <s v="SF-005"/>
    <n v="46"/>
    <s v="SO45115"/>
    <x v="0"/>
    <s v="Komoda"/>
    <s v="Ognjanović Jovan"/>
    <x v="1"/>
    <x v="1"/>
    <m/>
  </r>
  <r>
    <n v="157"/>
    <x v="29"/>
    <x v="2"/>
    <s v="KO-008"/>
    <n v="16"/>
    <s v="SO45118"/>
    <x v="0"/>
    <s v="Tabure"/>
    <s v="Ognjanović Jovan"/>
    <x v="9"/>
    <x v="6"/>
    <m/>
  </r>
  <r>
    <n v="152"/>
    <x v="30"/>
    <x v="4"/>
    <s v="TA-012"/>
    <n v="25"/>
    <s v="MO45113"/>
    <x v="0"/>
    <s v="Ogledalo za zid"/>
    <s v="Nenadović Novak"/>
    <x v="7"/>
    <x v="0"/>
    <m/>
  </r>
  <r>
    <n v="108"/>
    <x v="25"/>
    <x v="0"/>
    <s v="OZ-011"/>
    <n v="46"/>
    <s v="SO45120"/>
    <x v="0"/>
    <s v="Tabure"/>
    <s v="Anić Antonina"/>
    <x v="2"/>
    <x v="2"/>
    <m/>
  </r>
  <r>
    <n v="151"/>
    <x v="31"/>
    <x v="1"/>
    <s v="TA-012"/>
    <n v="50"/>
    <s v="SO45124"/>
    <x v="0"/>
    <s v="Tabure"/>
    <s v="Jovanović Jelica"/>
    <x v="3"/>
    <x v="0"/>
    <m/>
  </r>
  <r>
    <n v="157"/>
    <x v="30"/>
    <x v="2"/>
    <s v="TA-012"/>
    <n v="25"/>
    <s v="SO45122"/>
    <x v="0"/>
    <s v="Trpezarijski sto"/>
    <s v="Ognjanović Jovan"/>
    <x v="9"/>
    <x v="6"/>
    <m/>
  </r>
  <r>
    <n v="195"/>
    <x v="4"/>
    <x v="0"/>
    <s v="TS-002"/>
    <n v="5"/>
    <s v="MO45123"/>
    <x v="4"/>
    <s v="Noćni ormarić"/>
    <s v="Anić Antonina"/>
    <x v="0"/>
    <x v="0"/>
    <m/>
  </r>
  <r>
    <n v="153"/>
    <x v="32"/>
    <x v="2"/>
    <s v="NO-007"/>
    <n v="23"/>
    <s v="SO45121"/>
    <x v="3"/>
    <s v="Trpezarijski sto"/>
    <s v="Ognjanović Jovan"/>
    <x v="1"/>
    <x v="1"/>
    <m/>
  </r>
  <r>
    <n v="157"/>
    <x v="33"/>
    <x v="2"/>
    <s v="TS-002"/>
    <n v="23"/>
    <s v="SO45129"/>
    <x v="4"/>
    <s v="Kuhinjsko ostrvo"/>
    <s v="Ognjanović Jovan"/>
    <x v="9"/>
    <x v="6"/>
    <m/>
  </r>
  <r>
    <n v="152"/>
    <x v="34"/>
    <x v="4"/>
    <s v="KO-014"/>
    <n v="2"/>
    <s v="SO45127"/>
    <x v="2"/>
    <s v="Komoda"/>
    <s v="Nenadović Novak"/>
    <x v="7"/>
    <x v="0"/>
    <m/>
  </r>
  <r>
    <n v="152"/>
    <x v="35"/>
    <x v="0"/>
    <s v="KO-008"/>
    <n v="49"/>
    <s v="SO45128"/>
    <x v="0"/>
    <s v="Rasklopiva fotelja"/>
    <s v="Anić Antonina"/>
    <x v="7"/>
    <x v="0"/>
    <m/>
  </r>
  <r>
    <n v="163"/>
    <x v="5"/>
    <x v="1"/>
    <s v="RF-003"/>
    <n v="36"/>
    <s v="SO45126"/>
    <x v="0"/>
    <s v="Polica za knjige"/>
    <s v="Jovanović Jelica"/>
    <x v="6"/>
    <x v="4"/>
    <m/>
  </r>
  <r>
    <n v="179"/>
    <x v="36"/>
    <x v="3"/>
    <s v="PK-010"/>
    <n v="45"/>
    <s v="SO45136"/>
    <x v="0"/>
    <s v="Polica za knjige"/>
    <s v="Vučković Sanja"/>
    <x v="5"/>
    <x v="3"/>
    <m/>
  </r>
  <r>
    <n v="195"/>
    <x v="37"/>
    <x v="0"/>
    <s v="PK-010"/>
    <n v="21"/>
    <s v="SO45130"/>
    <x v="0"/>
    <s v="Kuhinjsko ostrvo"/>
    <s v="Anić Antonina"/>
    <x v="0"/>
    <x v="0"/>
    <m/>
  </r>
  <r>
    <n v="152"/>
    <x v="38"/>
    <x v="4"/>
    <s v="KO-014"/>
    <n v="28"/>
    <s v="SO45134"/>
    <x v="2"/>
    <s v="Viseća polica"/>
    <s v="Nenadović Novak"/>
    <x v="7"/>
    <x v="0"/>
    <m/>
  </r>
  <r>
    <n v="163"/>
    <x v="14"/>
    <x v="1"/>
    <s v="VP-013"/>
    <n v="11"/>
    <s v="SO45138"/>
    <x v="2"/>
    <s v="Polica za knjige"/>
    <s v="Jovanović Jelica"/>
    <x v="6"/>
    <x v="4"/>
    <m/>
  </r>
  <r>
    <n v="152"/>
    <x v="21"/>
    <x v="4"/>
    <s v="PK-010"/>
    <n v="21"/>
    <s v="SO45132"/>
    <x v="0"/>
    <s v="Polica za knjige"/>
    <s v="Nenadović Novak"/>
    <x v="7"/>
    <x v="0"/>
    <m/>
  </r>
  <r>
    <n v="195"/>
    <x v="39"/>
    <x v="0"/>
    <s v="PK-010"/>
    <n v="16"/>
    <s v="SO45137"/>
    <x v="0"/>
    <s v="Tabure"/>
    <s v="Anić Antonina"/>
    <x v="0"/>
    <x v="0"/>
    <m/>
  </r>
  <r>
    <n v="157"/>
    <x v="40"/>
    <x v="2"/>
    <s v="TA-012"/>
    <n v="16"/>
    <s v="SO45133"/>
    <x v="0"/>
    <s v="Ogledalo za zid"/>
    <s v="Ognjanović Jovan"/>
    <x v="9"/>
    <x v="6"/>
    <m/>
  </r>
  <r>
    <n v="127"/>
    <x v="29"/>
    <x v="4"/>
    <s v="OZ-011"/>
    <n v="19"/>
    <s v="SO45131"/>
    <x v="0"/>
    <s v="Radni sto"/>
    <s v="Nenadović Novak"/>
    <x v="8"/>
    <x v="5"/>
    <m/>
  </r>
  <r>
    <n v="108"/>
    <x v="41"/>
    <x v="0"/>
    <s v="RS-009"/>
    <n v="40"/>
    <s v="SO45135"/>
    <x v="1"/>
    <s v="Noćni ormarić"/>
    <s v="Anić Antonina"/>
    <x v="2"/>
    <x v="2"/>
    <m/>
  </r>
  <r>
    <n v="127"/>
    <x v="33"/>
    <x v="4"/>
    <s v="NO-007"/>
    <n v="20"/>
    <s v="MO45141"/>
    <x v="3"/>
    <s v="Stolica za ručavanje"/>
    <s v="Nenadović Novak"/>
    <x v="8"/>
    <x v="5"/>
    <m/>
  </r>
  <r>
    <n v="152"/>
    <x v="42"/>
    <x v="4"/>
    <s v="SR-006"/>
    <n v="47"/>
    <s v="SO45143"/>
    <x v="4"/>
    <s v="Radni sto"/>
    <s v="Nenadović Novak"/>
    <x v="7"/>
    <x v="0"/>
    <m/>
  </r>
  <r>
    <n v="163"/>
    <x v="43"/>
    <x v="1"/>
    <s v="RS-009"/>
    <n v="10"/>
    <s v="SO45142"/>
    <x v="1"/>
    <s v="Rasklopiva fotelja"/>
    <s v="Jovanović Jelica"/>
    <x v="6"/>
    <x v="4"/>
    <m/>
  </r>
  <r>
    <n v="108"/>
    <x v="44"/>
    <x v="0"/>
    <s v="RF-003"/>
    <n v="35"/>
    <s v="SO45145"/>
    <x v="0"/>
    <s v="Trpezarijski sto"/>
    <s v="Anić Antonina"/>
    <x v="2"/>
    <x v="2"/>
    <m/>
  </r>
  <r>
    <n v="152"/>
    <x v="45"/>
    <x v="4"/>
    <s v="TS-002"/>
    <n v="49"/>
    <s v="SO45144"/>
    <x v="4"/>
    <s v="Sofa"/>
    <s v="Nenadović Novak"/>
    <x v="7"/>
    <x v="0"/>
    <m/>
  </r>
  <r>
    <n v="127"/>
    <x v="46"/>
    <x v="4"/>
    <s v="SF-005"/>
    <n v="14"/>
    <s v="SO45140"/>
    <x v="0"/>
    <s v="Sofa"/>
    <s v="Nenadović Novak"/>
    <x v="8"/>
    <x v="5"/>
    <m/>
  </r>
  <r>
    <n v="163"/>
    <x v="47"/>
    <x v="1"/>
    <s v="SF-005"/>
    <n v="21"/>
    <s v="SO45139"/>
    <x v="0"/>
    <s v="Trpezarijski sto"/>
    <s v="Jovanović Jelica"/>
    <x v="6"/>
    <x v="4"/>
    <m/>
  </r>
  <r>
    <n v="195"/>
    <x v="45"/>
    <x v="0"/>
    <s v="TS-002"/>
    <n v="13"/>
    <s v="MO45148"/>
    <x v="4"/>
    <s v="Klub sto"/>
    <s v="Anić Antonina"/>
    <x v="0"/>
    <x v="0"/>
    <m/>
  </r>
  <r>
    <n v="153"/>
    <x v="33"/>
    <x v="2"/>
    <s v="KS-001"/>
    <n v="10"/>
    <s v="SO45147"/>
    <x v="0"/>
    <s v="Noćni ormarić"/>
    <s v="Ognjanović Jovan"/>
    <x v="1"/>
    <x v="1"/>
    <m/>
  </r>
  <r>
    <n v="163"/>
    <x v="10"/>
    <x v="1"/>
    <s v="NO-007"/>
    <n v="14"/>
    <s v="MO45146"/>
    <x v="3"/>
    <s v="Rasklopiva fotelja"/>
    <s v="Jovanović Jelica"/>
    <x v="6"/>
    <x v="4"/>
    <m/>
  </r>
  <r>
    <n v="127"/>
    <x v="28"/>
    <x v="4"/>
    <s v="RF-003"/>
    <n v="1"/>
    <s v="SO45149"/>
    <x v="0"/>
    <s v="Ormarić za TV"/>
    <s v="Nenadović Novak"/>
    <x v="8"/>
    <x v="5"/>
    <m/>
  </r>
  <r>
    <n v="179"/>
    <x v="48"/>
    <x v="3"/>
    <s v="OT-004"/>
    <n v="35"/>
    <s v="SO45154"/>
    <x v="0"/>
    <s v="Sofa"/>
    <s v="Vučković Sanja"/>
    <x v="5"/>
    <x v="3"/>
    <m/>
  </r>
  <r>
    <n v="108"/>
    <x v="49"/>
    <x v="0"/>
    <s v="SF-005"/>
    <n v="7"/>
    <s v="MO45151"/>
    <x v="0"/>
    <s v="Trpezarijski sto"/>
    <s v="Anić Antonina"/>
    <x v="2"/>
    <x v="2"/>
    <m/>
  </r>
  <r>
    <n v="157"/>
    <x v="50"/>
    <x v="2"/>
    <s v="TS-002"/>
    <n v="29"/>
    <s v="SO45150"/>
    <x v="4"/>
    <s v="Kuhinjsko ostrvo"/>
    <s v="Ognjanović Jovan"/>
    <x v="9"/>
    <x v="6"/>
    <m/>
  </r>
  <r>
    <n v="151"/>
    <x v="51"/>
    <x v="1"/>
    <s v="KO-014"/>
    <n v="46"/>
    <s v="SO45157"/>
    <x v="2"/>
    <s v="Stolica za ručavanje"/>
    <s v="Jovanović Jelica"/>
    <x v="3"/>
    <x v="0"/>
    <m/>
  </r>
  <r>
    <n v="157"/>
    <x v="31"/>
    <x v="2"/>
    <s v="SR-006"/>
    <n v="28"/>
    <s v="SO45156"/>
    <x v="4"/>
    <s v="Noćni ormarić"/>
    <s v="Ognjanović Jovan"/>
    <x v="9"/>
    <x v="6"/>
    <m/>
  </r>
  <r>
    <n v="186"/>
    <x v="52"/>
    <x v="3"/>
    <s v="NO-007"/>
    <n v="35"/>
    <s v="SO45155"/>
    <x v="3"/>
    <s v="Viseća polica"/>
    <s v="Vučković Sanja"/>
    <x v="4"/>
    <x v="2"/>
    <m/>
  </r>
  <r>
    <n v="186"/>
    <x v="13"/>
    <x v="0"/>
    <s v="VP-013"/>
    <n v="31"/>
    <s v="SO45153"/>
    <x v="2"/>
    <s v="Polica za knjige"/>
    <s v="Anić Antonina"/>
    <x v="4"/>
    <x v="2"/>
    <m/>
  </r>
  <r>
    <n v="152"/>
    <x v="17"/>
    <x v="4"/>
    <s v="PK-010"/>
    <n v="24"/>
    <s v="SO45152"/>
    <x v="0"/>
    <s v="Kuhinjsko ostrvo"/>
    <s v="Nenadović Novak"/>
    <x v="7"/>
    <x v="0"/>
    <m/>
  </r>
  <r>
    <n v="195"/>
    <x v="53"/>
    <x v="0"/>
    <s v="KO-014"/>
    <n v="45"/>
    <s v="SO45162"/>
    <x v="2"/>
    <s v="Kuhinjsko ostrvo"/>
    <s v="Anić Antonina"/>
    <x v="0"/>
    <x v="0"/>
    <m/>
  </r>
  <r>
    <n v="195"/>
    <x v="12"/>
    <x v="0"/>
    <s v="KO-014"/>
    <n v="46"/>
    <s v="SO45158"/>
    <x v="2"/>
    <s v="Klub sto"/>
    <s v="Anić Antonina"/>
    <x v="0"/>
    <x v="0"/>
    <m/>
  </r>
  <r>
    <n v="186"/>
    <x v="54"/>
    <x v="3"/>
    <s v="KS-001"/>
    <n v="12"/>
    <s v="SO45163"/>
    <x v="0"/>
    <s v="Rasklopiva fotelja"/>
    <s v="Vučković Sanja"/>
    <x v="4"/>
    <x v="2"/>
    <m/>
  </r>
  <r>
    <n v="108"/>
    <x v="38"/>
    <x v="0"/>
    <s v="RF-003"/>
    <n v="9"/>
    <s v="SO45159"/>
    <x v="0"/>
    <s v="Kuhinjsko ostrvo"/>
    <s v="Anić Antonina"/>
    <x v="2"/>
    <x v="2"/>
    <m/>
  </r>
  <r>
    <n v="157"/>
    <x v="16"/>
    <x v="2"/>
    <s v="KO-014"/>
    <n v="39"/>
    <s v="SO45161"/>
    <x v="2"/>
    <s v="Komoda"/>
    <s v="Ognjanović Jovan"/>
    <x v="9"/>
    <x v="6"/>
    <m/>
  </r>
  <r>
    <n v="151"/>
    <x v="55"/>
    <x v="1"/>
    <s v="KO-008"/>
    <n v="47"/>
    <s v="SO45160"/>
    <x v="0"/>
    <s v="Sofa"/>
    <s v="Jovanović Jelica"/>
    <x v="3"/>
    <x v="0"/>
    <m/>
  </r>
  <r>
    <n v="186"/>
    <x v="49"/>
    <x v="3"/>
    <s v="SF-005"/>
    <n v="28"/>
    <s v="SO45164"/>
    <x v="0"/>
    <s v="Trpezarijski sto"/>
    <s v="Vučković Sanja"/>
    <x v="4"/>
    <x v="2"/>
    <m/>
  </r>
  <r>
    <n v="151"/>
    <x v="56"/>
    <x v="1"/>
    <s v="TS-002"/>
    <n v="9"/>
    <s v="SO45167"/>
    <x v="4"/>
    <s v="Noćni ormarić"/>
    <s v="Jovanović Jelica"/>
    <x v="3"/>
    <x v="0"/>
    <m/>
  </r>
  <r>
    <n v="127"/>
    <x v="14"/>
    <x v="0"/>
    <s v="NO-007"/>
    <n v="22"/>
    <s v="SO45169"/>
    <x v="3"/>
    <s v="Trpezarijski sto"/>
    <s v="Anić Antonina"/>
    <x v="8"/>
    <x v="5"/>
    <m/>
  </r>
  <r>
    <n v="179"/>
    <x v="57"/>
    <x v="3"/>
    <s v="TS-002"/>
    <n v="14"/>
    <s v="SO45171"/>
    <x v="4"/>
    <s v="Sofa"/>
    <s v="Vučković Sanja"/>
    <x v="5"/>
    <x v="3"/>
    <m/>
  </r>
  <r>
    <n v="163"/>
    <x v="31"/>
    <x v="1"/>
    <s v="SF-005"/>
    <n v="47"/>
    <s v="SO45170"/>
    <x v="0"/>
    <s v="Rasklopiva fotelja"/>
    <s v="Jovanović Jelica"/>
    <x v="6"/>
    <x v="4"/>
    <m/>
  </r>
  <r>
    <n v="153"/>
    <x v="58"/>
    <x v="2"/>
    <s v="RF-003"/>
    <n v="49"/>
    <s v="SO45166"/>
    <x v="0"/>
    <s v="Ogledalo za zid"/>
    <s v="Ognjanović Jovan"/>
    <x v="1"/>
    <x v="1"/>
    <m/>
  </r>
  <r>
    <n v="186"/>
    <x v="38"/>
    <x v="3"/>
    <s v="OZ-011"/>
    <n v="39"/>
    <s v="MO45168"/>
    <x v="0"/>
    <s v="Klub sto"/>
    <s v="Vučković Sanja"/>
    <x v="4"/>
    <x v="2"/>
    <m/>
  </r>
  <r>
    <n v="108"/>
    <x v="54"/>
    <x v="0"/>
    <s v="KS-001"/>
    <n v="41"/>
    <s v="SO45165"/>
    <x v="0"/>
    <s v="Rasklopiva fotelja"/>
    <s v="Anić Antonina"/>
    <x v="2"/>
    <x v="2"/>
    <m/>
  </r>
  <r>
    <n v="186"/>
    <x v="51"/>
    <x v="3"/>
    <s v="RF-003"/>
    <n v="50"/>
    <s v="SO45172"/>
    <x v="0"/>
    <s v="Ormarić za TV"/>
    <s v="Vučković Sanja"/>
    <x v="4"/>
    <x v="2"/>
    <m/>
  </r>
  <r>
    <n v="179"/>
    <x v="59"/>
    <x v="3"/>
    <s v="OT-004"/>
    <n v="33"/>
    <s v="SO45176"/>
    <x v="0"/>
    <s v="Viseća polica"/>
    <s v="Vučković Sanja"/>
    <x v="5"/>
    <x v="3"/>
    <m/>
  </r>
  <r>
    <n v="186"/>
    <x v="60"/>
    <x v="3"/>
    <s v="VP-013"/>
    <n v="46"/>
    <s v="SO45174"/>
    <x v="2"/>
    <s v="Ormarić za TV"/>
    <s v="Vučković Sanja"/>
    <x v="4"/>
    <x v="2"/>
    <m/>
  </r>
  <r>
    <n v="152"/>
    <x v="61"/>
    <x v="4"/>
    <s v="OT-004"/>
    <n v="24"/>
    <s v="SO45179"/>
    <x v="0"/>
    <s v="Stolica za ručavanje"/>
    <s v="Nenadović Novak"/>
    <x v="7"/>
    <x v="0"/>
    <m/>
  </r>
  <r>
    <n v="195"/>
    <x v="62"/>
    <x v="0"/>
    <s v="SR-006"/>
    <n v="17"/>
    <s v="SO45178"/>
    <x v="4"/>
    <s v="Ormarić za TV"/>
    <s v="Anić Antonina"/>
    <x v="0"/>
    <x v="0"/>
    <m/>
  </r>
  <r>
    <n v="157"/>
    <x v="29"/>
    <x v="2"/>
    <s v="OT-004"/>
    <n v="30"/>
    <s v="SO45177"/>
    <x v="0"/>
    <s v="Stolica za ručavanje"/>
    <s v="Ognjanović Jovan"/>
    <x v="9"/>
    <x v="6"/>
    <m/>
  </r>
  <r>
    <n v="151"/>
    <x v="30"/>
    <x v="1"/>
    <s v="SR-006"/>
    <n v="23"/>
    <s v="MO45173"/>
    <x v="4"/>
    <s v="Sofa"/>
    <s v="Jovanović Jelica"/>
    <x v="3"/>
    <x v="0"/>
    <m/>
  </r>
  <r>
    <n v="153"/>
    <x v="30"/>
    <x v="2"/>
    <s v="SF-005"/>
    <n v="31"/>
    <s v="MO45175"/>
    <x v="0"/>
    <s v="Trpezarijski sto"/>
    <s v="Ognjanović Jovan"/>
    <x v="1"/>
    <x v="1"/>
    <m/>
  </r>
  <r>
    <n v="152"/>
    <x v="5"/>
    <x v="4"/>
    <s v="TS-002"/>
    <n v="48"/>
    <s v="SO45180"/>
    <x v="4"/>
    <s v="Ormarić za TV"/>
    <s v="Nenadović Novak"/>
    <x v="7"/>
    <x v="0"/>
    <m/>
  </r>
  <r>
    <n v="152"/>
    <x v="63"/>
    <x v="4"/>
    <s v="OT-004"/>
    <n v="24"/>
    <s v="SO45184"/>
    <x v="0"/>
    <s v="Noćni ormarić"/>
    <s v="Nenadović Novak"/>
    <x v="7"/>
    <x v="0"/>
    <m/>
  </r>
  <r>
    <n v="153"/>
    <x v="32"/>
    <x v="2"/>
    <s v="NO-007"/>
    <n v="17"/>
    <s v="SO45183"/>
    <x v="3"/>
    <s v="Kuhinjsko ostrvo"/>
    <s v="Ognjanović Jovan"/>
    <x v="1"/>
    <x v="1"/>
    <m/>
  </r>
  <r>
    <n v="152"/>
    <x v="51"/>
    <x v="4"/>
    <s v="KO-014"/>
    <n v="2"/>
    <s v="MO45181"/>
    <x v="2"/>
    <s v="Rasklopiva fotelja"/>
    <s v="Nenadović Novak"/>
    <x v="7"/>
    <x v="0"/>
    <m/>
  </r>
  <r>
    <n v="127"/>
    <x v="25"/>
    <x v="4"/>
    <s v="RF-003"/>
    <n v="24"/>
    <s v="SO45185"/>
    <x v="0"/>
    <s v="Klub sto"/>
    <s v="Nenadović Novak"/>
    <x v="8"/>
    <x v="5"/>
    <m/>
  </r>
  <r>
    <n v="127"/>
    <x v="22"/>
    <x v="4"/>
    <s v="KS-001"/>
    <n v="22"/>
    <s v="SO45182"/>
    <x v="0"/>
    <s v="Viseća polica"/>
    <s v="Nenadović Novak"/>
    <x v="8"/>
    <x v="5"/>
    <m/>
  </r>
  <r>
    <n v="186"/>
    <x v="2"/>
    <x v="3"/>
    <s v="VP-013"/>
    <n v="20"/>
    <s v="SO45186"/>
    <x v="2"/>
    <s v="Trpezarijski sto"/>
    <s v="Vučković Sanja"/>
    <x v="4"/>
    <x v="2"/>
    <m/>
  </r>
  <r>
    <n v="151"/>
    <x v="30"/>
    <x v="1"/>
    <s v="TS-002"/>
    <n v="32"/>
    <s v="SO45191"/>
    <x v="4"/>
    <s v="Kuhinjsko ostrvo"/>
    <s v="Jovanović Jelica"/>
    <x v="3"/>
    <x v="0"/>
    <m/>
  </r>
  <r>
    <n v="152"/>
    <x v="45"/>
    <x v="4"/>
    <s v="KO-014"/>
    <n v="35"/>
    <s v="SO45187"/>
    <x v="2"/>
    <s v="Trpezarijski sto"/>
    <s v="Nenadović Novak"/>
    <x v="7"/>
    <x v="0"/>
    <m/>
  </r>
  <r>
    <n v="195"/>
    <x v="14"/>
    <x v="0"/>
    <s v="TS-002"/>
    <n v="21"/>
    <s v="SO45188"/>
    <x v="4"/>
    <s v="Tabure"/>
    <s v="Anić Antonina"/>
    <x v="0"/>
    <x v="0"/>
    <m/>
  </r>
  <r>
    <n v="151"/>
    <x v="22"/>
    <x v="1"/>
    <s v="TA-012"/>
    <n v="8"/>
    <s v="SO45190"/>
    <x v="0"/>
    <s v="Viseća polica"/>
    <s v="Jovanović Jelica"/>
    <x v="3"/>
    <x v="0"/>
    <m/>
  </r>
  <r>
    <n v="153"/>
    <x v="54"/>
    <x v="2"/>
    <s v="VP-013"/>
    <n v="49"/>
    <s v="SO45189"/>
    <x v="2"/>
    <s v="Stolica za ručavanje"/>
    <s v="Ognjanović Jovan"/>
    <x v="1"/>
    <x v="1"/>
    <m/>
  </r>
  <r>
    <n v="179"/>
    <x v="10"/>
    <x v="3"/>
    <s v="SR-006"/>
    <n v="41"/>
    <s v="MO45196"/>
    <x v="4"/>
    <s v="Rasklopiva fotelja"/>
    <s v="Vučković Sanja"/>
    <x v="5"/>
    <x v="3"/>
    <m/>
  </r>
  <r>
    <n v="127"/>
    <x v="12"/>
    <x v="4"/>
    <s v="RF-003"/>
    <n v="46"/>
    <s v="SO45195"/>
    <x v="0"/>
    <s v="Klub sto"/>
    <s v="Nenadović Novak"/>
    <x v="8"/>
    <x v="5"/>
    <m/>
  </r>
  <r>
    <n v="108"/>
    <x v="64"/>
    <x v="0"/>
    <s v="KS-001"/>
    <n v="49"/>
    <s v="SO45193"/>
    <x v="0"/>
    <s v="Polica za knjige"/>
    <s v="Anić Antonina"/>
    <x v="2"/>
    <x v="2"/>
    <m/>
  </r>
  <r>
    <n v="152"/>
    <x v="65"/>
    <x v="4"/>
    <s v="PK-010"/>
    <n v="22"/>
    <s v="SO45194"/>
    <x v="0"/>
    <s v="Noćni ormarić"/>
    <s v="Nenadović Novak"/>
    <x v="7"/>
    <x v="0"/>
    <m/>
  </r>
  <r>
    <n v="108"/>
    <x v="51"/>
    <x v="0"/>
    <s v="NO-007"/>
    <n v="7"/>
    <s v="SO45192"/>
    <x v="3"/>
    <s v="Kuhinjsko ostrvo"/>
    <s v="Anić Antonina"/>
    <x v="2"/>
    <x v="2"/>
    <m/>
  </r>
  <r>
    <n v="151"/>
    <x v="66"/>
    <x v="1"/>
    <s v="KO-014"/>
    <n v="22"/>
    <s v="SO45197"/>
    <x v="2"/>
    <s v="Viseća polica"/>
    <s v="Jovanović Jelica"/>
    <x v="3"/>
    <x v="0"/>
    <m/>
  </r>
  <r>
    <n v="163"/>
    <x v="47"/>
    <x v="1"/>
    <s v="VP-013"/>
    <n v="4"/>
    <s v="SO45201"/>
    <x v="2"/>
    <s v="Komoda"/>
    <s v="Jovanović Jelica"/>
    <x v="6"/>
    <x v="4"/>
    <m/>
  </r>
  <r>
    <n v="152"/>
    <x v="6"/>
    <x v="4"/>
    <s v="KO-008"/>
    <n v="34"/>
    <s v="SO45199"/>
    <x v="0"/>
    <s v="Kuhinjsko ostrvo"/>
    <s v="Nenadović Novak"/>
    <x v="7"/>
    <x v="0"/>
    <m/>
  </r>
  <r>
    <n v="179"/>
    <x v="10"/>
    <x v="3"/>
    <s v="KO-014"/>
    <n v="16"/>
    <s v="SO45200"/>
    <x v="2"/>
    <s v="Komoda"/>
    <s v="Vučković Sanja"/>
    <x v="5"/>
    <x v="3"/>
    <m/>
  </r>
  <r>
    <n v="195"/>
    <x v="32"/>
    <x v="0"/>
    <s v="KO-008"/>
    <n v="22"/>
    <s v="SO45204"/>
    <x v="0"/>
    <s v="Polica za knjige"/>
    <s v="Anić Antonina"/>
    <x v="0"/>
    <x v="0"/>
    <m/>
  </r>
  <r>
    <n v="152"/>
    <x v="67"/>
    <x v="4"/>
    <s v="PK-010"/>
    <n v="37"/>
    <s v="SO45203"/>
    <x v="0"/>
    <s v="Komoda"/>
    <s v="Nenadović Novak"/>
    <x v="7"/>
    <x v="0"/>
    <m/>
  </r>
  <r>
    <n v="195"/>
    <x v="4"/>
    <x v="2"/>
    <s v="KO-008"/>
    <n v="26"/>
    <s v="MO45202"/>
    <x v="0"/>
    <s v="Klub sto"/>
    <s v="Ognjanović Jovan"/>
    <x v="0"/>
    <x v="0"/>
    <m/>
  </r>
  <r>
    <n v="163"/>
    <x v="68"/>
    <x v="1"/>
    <s v="KS-001"/>
    <n v="45"/>
    <s v="SO45198"/>
    <x v="0"/>
    <s v="Tabure"/>
    <s v="Jovanović Jelica"/>
    <x v="6"/>
    <x v="4"/>
    <m/>
  </r>
  <r>
    <n v="152"/>
    <x v="69"/>
    <x v="4"/>
    <s v="TA-012"/>
    <n v="42"/>
    <s v="MO45213"/>
    <x v="0"/>
    <s v="Klub sto"/>
    <s v="Nenadović Novak"/>
    <x v="7"/>
    <x v="0"/>
    <m/>
  </r>
  <r>
    <n v="127"/>
    <x v="54"/>
    <x v="4"/>
    <s v="KS-001"/>
    <n v="38"/>
    <s v="SO45207"/>
    <x v="0"/>
    <s v="Sofa"/>
    <s v="Nenadović Novak"/>
    <x v="8"/>
    <x v="5"/>
    <m/>
  </r>
  <r>
    <n v="186"/>
    <x v="67"/>
    <x v="3"/>
    <s v="SF-005"/>
    <n v="7"/>
    <s v="MO45211"/>
    <x v="0"/>
    <s v="Trpezarijski sto"/>
    <s v="Vučković Sanja"/>
    <x v="4"/>
    <x v="2"/>
    <m/>
  </r>
  <r>
    <n v="152"/>
    <x v="13"/>
    <x v="4"/>
    <s v="TS-002"/>
    <n v="32"/>
    <s v="SO45212"/>
    <x v="4"/>
    <s v="Polica za knjige"/>
    <s v="Nenadović Novak"/>
    <x v="7"/>
    <x v="0"/>
    <m/>
  </r>
  <r>
    <n v="157"/>
    <x v="35"/>
    <x v="2"/>
    <s v="PK-010"/>
    <n v="8"/>
    <s v="SO45208"/>
    <x v="0"/>
    <s v="Radni sto"/>
    <s v="Ognjanović Jovan"/>
    <x v="9"/>
    <x v="6"/>
    <m/>
  </r>
  <r>
    <n v="108"/>
    <x v="70"/>
    <x v="0"/>
    <s v="RS-009"/>
    <n v="12"/>
    <s v="SO45209"/>
    <x v="1"/>
    <s v="Ogledalo za zid"/>
    <s v="Anić Antonina"/>
    <x v="2"/>
    <x v="2"/>
    <m/>
  </r>
  <r>
    <n v="153"/>
    <x v="1"/>
    <x v="3"/>
    <s v="OZ-011"/>
    <n v="7"/>
    <s v="SO45210"/>
    <x v="0"/>
    <s v="Stolica za ručavanje"/>
    <s v="Vučković Sanja"/>
    <x v="1"/>
    <x v="1"/>
    <m/>
  </r>
  <r>
    <n v="195"/>
    <x v="46"/>
    <x v="0"/>
    <s v="SR-006"/>
    <n v="25"/>
    <s v="MO45206"/>
    <x v="4"/>
    <s v="Klub sto"/>
    <s v="Anić Antonina"/>
    <x v="0"/>
    <x v="0"/>
    <m/>
  </r>
  <r>
    <n v="153"/>
    <x v="71"/>
    <x v="2"/>
    <s v="KS-001"/>
    <n v="43"/>
    <s v="SO45205"/>
    <x v="0"/>
    <s v="Ogledalo za zid"/>
    <s v="Ognjanović Jovan"/>
    <x v="1"/>
    <x v="1"/>
    <m/>
  </r>
  <r>
    <n v="153"/>
    <x v="36"/>
    <x v="2"/>
    <s v="OZ-011"/>
    <n v="19"/>
    <s v="SO45215"/>
    <x v="0"/>
    <s v="Klub sto"/>
    <s v="Ognjanović Jovan"/>
    <x v="1"/>
    <x v="1"/>
    <m/>
  </r>
  <r>
    <n v="186"/>
    <x v="13"/>
    <x v="3"/>
    <s v="KS-001"/>
    <n v="9"/>
    <s v="SO45214"/>
    <x v="0"/>
    <s v="Polica za knjige"/>
    <s v="Vučković Sanja"/>
    <x v="4"/>
    <x v="2"/>
    <m/>
  </r>
  <r>
    <n v="179"/>
    <x v="35"/>
    <x v="3"/>
    <s v="PK-010"/>
    <n v="32"/>
    <s v="SO45216"/>
    <x v="0"/>
    <s v="Noćni ormarić"/>
    <s v="Vučković Sanja"/>
    <x v="5"/>
    <x v="3"/>
    <m/>
  </r>
  <r>
    <n v="186"/>
    <x v="49"/>
    <x v="3"/>
    <s v="NO-007"/>
    <n v="50"/>
    <s v="SO45217"/>
    <x v="3"/>
    <s v="Ormarić za TV"/>
    <s v="Vučković Sanja"/>
    <x v="4"/>
    <x v="2"/>
    <m/>
  </r>
  <r>
    <n v="179"/>
    <x v="65"/>
    <x v="3"/>
    <s v="OT-004"/>
    <n v="13"/>
    <s v="SO45219"/>
    <x v="0"/>
    <s v="Trpezarijski sto"/>
    <s v="Vučković Sanja"/>
    <x v="5"/>
    <x v="3"/>
    <m/>
  </r>
  <r>
    <n v="157"/>
    <x v="57"/>
    <x v="2"/>
    <s v="TS-002"/>
    <n v="4"/>
    <s v="SO45222"/>
    <x v="4"/>
    <s v="Trpezarijski sto"/>
    <s v="Ognjanović Jovan"/>
    <x v="9"/>
    <x v="6"/>
    <m/>
  </r>
  <r>
    <n v="151"/>
    <x v="57"/>
    <x v="1"/>
    <s v="TS-002"/>
    <n v="34"/>
    <s v="SO45221"/>
    <x v="4"/>
    <s v="Ogledalo za zid"/>
    <s v="Jovanović Jelica"/>
    <x v="3"/>
    <x v="0"/>
    <m/>
  </r>
  <r>
    <n v="163"/>
    <x v="45"/>
    <x v="1"/>
    <s v="OZ-011"/>
    <n v="20"/>
    <s v="SO45220"/>
    <x v="0"/>
    <s v="Viseća polica"/>
    <s v="Jovanović Jelica"/>
    <x v="6"/>
    <x v="4"/>
    <m/>
  </r>
  <r>
    <n v="127"/>
    <x v="72"/>
    <x v="4"/>
    <s v="VP-013"/>
    <n v="21"/>
    <s v="MO45223"/>
    <x v="2"/>
    <s v="Kuhinjsko ostrvo"/>
    <s v="Nenadović Novak"/>
    <x v="8"/>
    <x v="5"/>
    <m/>
  </r>
  <r>
    <n v="179"/>
    <x v="30"/>
    <x v="3"/>
    <s v="KO-014"/>
    <n v="35"/>
    <s v="SO45224"/>
    <x v="2"/>
    <s v="Komoda"/>
    <s v="Vučković Sanja"/>
    <x v="5"/>
    <x v="3"/>
    <m/>
  </r>
  <r>
    <n v="179"/>
    <x v="2"/>
    <x v="3"/>
    <s v="KO-008"/>
    <n v="26"/>
    <s v="SO45218"/>
    <x v="0"/>
    <s v="Tabure"/>
    <s v="Vučković Sanja"/>
    <x v="5"/>
    <x v="3"/>
    <m/>
  </r>
  <r>
    <n v="151"/>
    <x v="61"/>
    <x v="4"/>
    <s v="TA-012"/>
    <n v="11"/>
    <s v="SO45228"/>
    <x v="0"/>
    <s v="Viseća polica"/>
    <s v="Nenadović Novak"/>
    <x v="3"/>
    <x v="0"/>
    <m/>
  </r>
  <r>
    <n v="195"/>
    <x v="29"/>
    <x v="2"/>
    <s v="VP-013"/>
    <n v="30"/>
    <s v="SO45226"/>
    <x v="2"/>
    <s v="Tabure"/>
    <s v="Ognjanović Jovan"/>
    <x v="0"/>
    <x v="0"/>
    <m/>
  </r>
  <r>
    <n v="152"/>
    <x v="58"/>
    <x v="4"/>
    <s v="TA-012"/>
    <n v="40"/>
    <s v="SO45225"/>
    <x v="0"/>
    <s v="Rasklopiva fotelja"/>
    <s v="Nenadović Novak"/>
    <x v="7"/>
    <x v="0"/>
    <m/>
  </r>
  <r>
    <n v="127"/>
    <x v="42"/>
    <x v="4"/>
    <s v="RF-003"/>
    <n v="14"/>
    <s v="SO45227"/>
    <x v="0"/>
    <s v="Rasklopiva fotelja"/>
    <s v="Nenadović Novak"/>
    <x v="8"/>
    <x v="5"/>
    <m/>
  </r>
  <r>
    <n v="163"/>
    <x v="68"/>
    <x v="1"/>
    <s v="RF-003"/>
    <n v="5"/>
    <s v="SO45232"/>
    <x v="0"/>
    <s v="Ormarić za TV"/>
    <s v="Jovanović Jelica"/>
    <x v="6"/>
    <x v="4"/>
    <m/>
  </r>
  <r>
    <n v="195"/>
    <x v="25"/>
    <x v="0"/>
    <s v="OT-004"/>
    <n v="48"/>
    <s v="SO45233"/>
    <x v="0"/>
    <s v="Rasklopiva fotelja"/>
    <s v="Anić Antonina"/>
    <x v="0"/>
    <x v="0"/>
    <m/>
  </r>
  <r>
    <n v="186"/>
    <x v="44"/>
    <x v="3"/>
    <s v="RF-003"/>
    <n v="19"/>
    <s v="SO45231"/>
    <x v="0"/>
    <s v="Radni sto"/>
    <s v="Vučković Sanja"/>
    <x v="4"/>
    <x v="2"/>
    <m/>
  </r>
  <r>
    <n v="127"/>
    <x v="73"/>
    <x v="4"/>
    <s v="RS-009"/>
    <n v="35"/>
    <s v="SO45229"/>
    <x v="1"/>
    <s v="Komoda"/>
    <s v="Nenadović Novak"/>
    <x v="8"/>
    <x v="5"/>
    <m/>
  </r>
  <r>
    <n v="157"/>
    <x v="21"/>
    <x v="2"/>
    <s v="KO-008"/>
    <n v="6"/>
    <s v="SO45236"/>
    <x v="0"/>
    <s v="Ormarić za TV"/>
    <s v="Ognjanović Jovan"/>
    <x v="9"/>
    <x v="6"/>
    <m/>
  </r>
  <r>
    <n v="195"/>
    <x v="58"/>
    <x v="0"/>
    <s v="OT-004"/>
    <n v="39"/>
    <s v="SO45234"/>
    <x v="0"/>
    <s v="Trpezarijski sto"/>
    <s v="Anić Antonina"/>
    <x v="0"/>
    <x v="0"/>
    <m/>
  </r>
  <r>
    <n v="179"/>
    <x v="10"/>
    <x v="3"/>
    <s v="TS-002"/>
    <n v="6"/>
    <s v="SO45235"/>
    <x v="4"/>
    <s v="Radni sto"/>
    <s v="Vučković Sanja"/>
    <x v="5"/>
    <x v="3"/>
    <m/>
  </r>
  <r>
    <n v="108"/>
    <x v="42"/>
    <x v="0"/>
    <s v="RS-009"/>
    <n v="33"/>
    <s v="SO45237"/>
    <x v="1"/>
    <s v="Stolica za ručavanje"/>
    <s v="Anić Antonina"/>
    <x v="2"/>
    <x v="2"/>
    <m/>
  </r>
  <r>
    <n v="195"/>
    <x v="28"/>
    <x v="0"/>
    <s v="SR-006"/>
    <n v="17"/>
    <s v="MO45238"/>
    <x v="4"/>
    <s v="Trpezarijski sto"/>
    <s v="Anić Antonina"/>
    <x v="0"/>
    <x v="0"/>
    <m/>
  </r>
  <r>
    <n v="179"/>
    <x v="64"/>
    <x v="3"/>
    <s v="TS-002"/>
    <n v="9"/>
    <s v="SO45242"/>
    <x v="4"/>
    <s v="Ogledalo za zid"/>
    <s v="Vučković Sanja"/>
    <x v="5"/>
    <x v="3"/>
    <m/>
  </r>
  <r>
    <n v="153"/>
    <x v="5"/>
    <x v="2"/>
    <s v="OZ-011"/>
    <n v="5"/>
    <s v="SO45240"/>
    <x v="0"/>
    <s v="Ormarić za TV"/>
    <s v="Ognjanović Jovan"/>
    <x v="1"/>
    <x v="1"/>
    <m/>
  </r>
  <r>
    <n v="151"/>
    <x v="7"/>
    <x v="1"/>
    <s v="OT-004"/>
    <n v="20"/>
    <s v="SO45241"/>
    <x v="0"/>
    <s v="Kuhinjsko ostrvo"/>
    <s v="Jovanović Jelica"/>
    <x v="3"/>
    <x v="0"/>
    <m/>
  </r>
  <r>
    <n v="195"/>
    <x v="45"/>
    <x v="0"/>
    <s v="KO-014"/>
    <n v="20"/>
    <s v="MO45244"/>
    <x v="2"/>
    <s v="Komoda"/>
    <s v="Anić Antonina"/>
    <x v="0"/>
    <x v="0"/>
    <m/>
  </r>
  <r>
    <n v="195"/>
    <x v="62"/>
    <x v="0"/>
    <s v="KO-008"/>
    <n v="50"/>
    <s v="SO45243"/>
    <x v="0"/>
    <s v="Ormarić za TV"/>
    <s v="Anić Antonina"/>
    <x v="0"/>
    <x v="0"/>
    <m/>
  </r>
  <r>
    <n v="152"/>
    <x v="40"/>
    <x v="4"/>
    <s v="OT-004"/>
    <n v="34"/>
    <s v="SO45245"/>
    <x v="0"/>
    <s v="Tabure"/>
    <s v="Nenadović Novak"/>
    <x v="7"/>
    <x v="0"/>
    <m/>
  </r>
  <r>
    <n v="179"/>
    <x v="70"/>
    <x v="3"/>
    <s v="TA-012"/>
    <n v="33"/>
    <s v="SO45246"/>
    <x v="0"/>
    <s v="Stolica za ručavanje"/>
    <s v="Vučković Sanja"/>
    <x v="5"/>
    <x v="3"/>
    <m/>
  </r>
  <r>
    <n v="157"/>
    <x v="55"/>
    <x v="2"/>
    <s v="SR-006"/>
    <n v="5"/>
    <s v="SO45247"/>
    <x v="4"/>
    <s v="Klub sto"/>
    <s v="Ognjanović Jovan"/>
    <x v="9"/>
    <x v="6"/>
    <m/>
  </r>
  <r>
    <n v="186"/>
    <x v="20"/>
    <x v="3"/>
    <s v="KS-001"/>
    <n v="20"/>
    <s v="SO45248"/>
    <x v="0"/>
    <s v="Polica za knjige"/>
    <s v="Vučković Sanja"/>
    <x v="4"/>
    <x v="2"/>
    <m/>
  </r>
  <r>
    <n v="151"/>
    <x v="49"/>
    <x v="1"/>
    <s v="PK-010"/>
    <n v="10"/>
    <s v="SO45254"/>
    <x v="0"/>
    <s v="Polica za knjige"/>
    <s v="Jovanović Jelica"/>
    <x v="3"/>
    <x v="0"/>
    <m/>
  </r>
  <r>
    <n v="179"/>
    <x v="29"/>
    <x v="3"/>
    <s v="PK-010"/>
    <n v="50"/>
    <s v="SO45258"/>
    <x v="0"/>
    <s v="Rasklopiva fotelja"/>
    <s v="Vučković Sanja"/>
    <x v="5"/>
    <x v="3"/>
    <m/>
  </r>
  <r>
    <n v="186"/>
    <x v="39"/>
    <x v="3"/>
    <s v="RF-003"/>
    <n v="10"/>
    <s v="SO45253"/>
    <x v="0"/>
    <s v="Komoda"/>
    <s v="Vučković Sanja"/>
    <x v="4"/>
    <x v="2"/>
    <m/>
  </r>
  <r>
    <n v="152"/>
    <x v="12"/>
    <x v="4"/>
    <s v="KO-008"/>
    <n v="3"/>
    <s v="SO45256"/>
    <x v="0"/>
    <s v="Ogledalo za zid"/>
    <s v="Nenadović Novak"/>
    <x v="7"/>
    <x v="0"/>
    <m/>
  </r>
  <r>
    <n v="127"/>
    <x v="74"/>
    <x v="4"/>
    <s v="OZ-011"/>
    <n v="25"/>
    <s v="SO45255"/>
    <x v="0"/>
    <s v="Kuhinjsko ostrvo"/>
    <s v="Nenadović Novak"/>
    <x v="8"/>
    <x v="5"/>
    <m/>
  </r>
  <r>
    <n v="157"/>
    <x v="75"/>
    <x v="2"/>
    <s v="KO-014"/>
    <n v="18"/>
    <s v="SO45250"/>
    <x v="2"/>
    <s v="Ogledalo za zid"/>
    <s v="Ognjanović Jovan"/>
    <x v="9"/>
    <x v="6"/>
    <m/>
  </r>
  <r>
    <n v="108"/>
    <x v="76"/>
    <x v="0"/>
    <s v="OZ-011"/>
    <n v="24"/>
    <s v="SO45251"/>
    <x v="0"/>
    <s v="Viseća polica"/>
    <s v="Anić Antonina"/>
    <x v="2"/>
    <x v="2"/>
    <m/>
  </r>
  <r>
    <n v="186"/>
    <x v="77"/>
    <x v="3"/>
    <s v="VP-013"/>
    <n v="37"/>
    <s v="SO45249"/>
    <x v="2"/>
    <s v="Komoda"/>
    <s v="Vučković Sanja"/>
    <x v="4"/>
    <x v="2"/>
    <m/>
  </r>
  <r>
    <n v="179"/>
    <x v="43"/>
    <x v="3"/>
    <s v="KO-008"/>
    <n v="6"/>
    <s v="SO45257"/>
    <x v="0"/>
    <s v="Klub sto"/>
    <s v="Vučković Sanja"/>
    <x v="5"/>
    <x v="3"/>
    <m/>
  </r>
  <r>
    <n v="127"/>
    <x v="50"/>
    <x v="4"/>
    <s v="KS-001"/>
    <n v="24"/>
    <s v="SO45252"/>
    <x v="0"/>
    <s v="Polica za knjige"/>
    <s v="Nenadović Novak"/>
    <x v="8"/>
    <x v="5"/>
    <m/>
  </r>
  <r>
    <n v="195"/>
    <x v="78"/>
    <x v="1"/>
    <s v="PK-010"/>
    <n v="20"/>
    <s v="SO45262"/>
    <x v="0"/>
    <s v="Klub sto"/>
    <s v="Jovanović Jelica"/>
    <x v="0"/>
    <x v="0"/>
    <m/>
  </r>
  <r>
    <n v="108"/>
    <x v="3"/>
    <x v="0"/>
    <s v="KS-001"/>
    <n v="2"/>
    <s v="SO45259"/>
    <x v="0"/>
    <s v="Ormarić za TV"/>
    <s v="Anić Antonina"/>
    <x v="2"/>
    <x v="2"/>
    <m/>
  </r>
  <r>
    <n v="179"/>
    <x v="67"/>
    <x v="3"/>
    <s v="OT-004"/>
    <n v="5"/>
    <s v="MO45264"/>
    <x v="0"/>
    <s v="Tabure"/>
    <s v="Vučković Sanja"/>
    <x v="5"/>
    <x v="3"/>
    <m/>
  </r>
  <r>
    <n v="195"/>
    <x v="66"/>
    <x v="0"/>
    <s v="TA-012"/>
    <n v="45"/>
    <s v="SO45261"/>
    <x v="0"/>
    <s v="Sofa"/>
    <s v="Anić Antonina"/>
    <x v="0"/>
    <x v="0"/>
    <m/>
  </r>
  <r>
    <n v="153"/>
    <x v="79"/>
    <x v="2"/>
    <s v="SF-005"/>
    <n v="16"/>
    <s v="SO45263"/>
    <x v="0"/>
    <s v="Sofa"/>
    <s v="Ognjanović Jovan"/>
    <x v="1"/>
    <x v="1"/>
    <m/>
  </r>
  <r>
    <n v="127"/>
    <x v="28"/>
    <x v="4"/>
    <s v="SF-005"/>
    <n v="37"/>
    <s v="SO45265"/>
    <x v="0"/>
    <s v="Noćni ormarić"/>
    <s v="Nenadović Novak"/>
    <x v="8"/>
    <x v="5"/>
    <m/>
  </r>
  <r>
    <n v="186"/>
    <x v="57"/>
    <x v="4"/>
    <s v="NO-007"/>
    <n v="2"/>
    <s v="SO45260"/>
    <x v="3"/>
    <s v="Ormarić za TV"/>
    <s v="Nenadović Novak"/>
    <x v="4"/>
    <x v="2"/>
    <m/>
  </r>
  <r>
    <n v="179"/>
    <x v="20"/>
    <x v="3"/>
    <s v="OT-004"/>
    <n v="31"/>
    <s v="SO45345"/>
    <x v="0"/>
    <s v="Ormarić za TV"/>
    <s v="Vučković Sanja"/>
    <x v="5"/>
    <x v="3"/>
    <m/>
  </r>
  <r>
    <n v="151"/>
    <x v="24"/>
    <x v="1"/>
    <s v="OT-004"/>
    <n v="14"/>
    <s v="SO45349"/>
    <x v="0"/>
    <s v="Radni sto"/>
    <s v="Jovanović Jelica"/>
    <x v="3"/>
    <x v="0"/>
    <m/>
  </r>
  <r>
    <n v="127"/>
    <x v="25"/>
    <x v="4"/>
    <s v="RS-009"/>
    <n v="5"/>
    <s v="SO45347"/>
    <x v="1"/>
    <s v="Tabure"/>
    <s v="Nenadović Novak"/>
    <x v="8"/>
    <x v="5"/>
    <m/>
  </r>
  <r>
    <n v="195"/>
    <x v="80"/>
    <x v="0"/>
    <s v="TA-012"/>
    <n v="9"/>
    <s v="SO45348"/>
    <x v="0"/>
    <s v="Noćni ormarić"/>
    <s v="Anić Antonina"/>
    <x v="0"/>
    <x v="0"/>
    <m/>
  </r>
  <r>
    <n v="186"/>
    <x v="16"/>
    <x v="3"/>
    <s v="NO-007"/>
    <n v="32"/>
    <s v="SO45350"/>
    <x v="3"/>
    <s v="Stolica za ručavanje"/>
    <s v="Vučković Sanja"/>
    <x v="4"/>
    <x v="2"/>
    <m/>
  </r>
  <r>
    <n v="157"/>
    <x v="43"/>
    <x v="2"/>
    <s v="SR-006"/>
    <n v="40"/>
    <s v="SO45354"/>
    <x v="4"/>
    <s v="Ogledalo za zid"/>
    <s v="Ognjanović Jovan"/>
    <x v="9"/>
    <x v="6"/>
    <m/>
  </r>
  <r>
    <n v="163"/>
    <x v="26"/>
    <x v="1"/>
    <s v="OZ-011"/>
    <n v="37"/>
    <s v="SO45352"/>
    <x v="0"/>
    <s v="Radni sto"/>
    <s v="Jovanović Jelica"/>
    <x v="6"/>
    <x v="4"/>
    <m/>
  </r>
  <r>
    <n v="153"/>
    <x v="35"/>
    <x v="2"/>
    <s v="RS-009"/>
    <n v="45"/>
    <s v="MO45356"/>
    <x v="1"/>
    <s v="Rasklopiva fotelja"/>
    <s v="Ognjanović Jovan"/>
    <x v="1"/>
    <x v="1"/>
    <m/>
  </r>
  <r>
    <n v="153"/>
    <x v="29"/>
    <x v="2"/>
    <s v="RF-003"/>
    <n v="26"/>
    <s v="SO45353"/>
    <x v="0"/>
    <s v="Klub sto"/>
    <s v="Ognjanović Jovan"/>
    <x v="1"/>
    <x v="1"/>
    <m/>
  </r>
  <r>
    <n v="127"/>
    <x v="55"/>
    <x v="4"/>
    <s v="KS-001"/>
    <n v="18"/>
    <s v="SO45355"/>
    <x v="0"/>
    <s v="Komoda"/>
    <s v="Nenadović Novak"/>
    <x v="8"/>
    <x v="5"/>
    <m/>
  </r>
  <r>
    <n v="151"/>
    <x v="13"/>
    <x v="1"/>
    <s v="KO-008"/>
    <n v="40"/>
    <s v="SO45351"/>
    <x v="0"/>
    <s v="Noćni ormarić"/>
    <s v="Jovanović Jelica"/>
    <x v="3"/>
    <x v="0"/>
    <m/>
  </r>
  <r>
    <n v="163"/>
    <x v="1"/>
    <x v="1"/>
    <s v="NO-007"/>
    <n v="18"/>
    <s v="SO45358"/>
    <x v="3"/>
    <s v="Stolica za ručavanje"/>
    <s v="Jovanović Jelica"/>
    <x v="6"/>
    <x v="4"/>
    <m/>
  </r>
  <r>
    <n v="195"/>
    <x v="17"/>
    <x v="0"/>
    <s v="SR-006"/>
    <n v="19"/>
    <s v="SO45357"/>
    <x v="4"/>
    <s v="Sofa"/>
    <s v="Anić Antonina"/>
    <x v="0"/>
    <x v="0"/>
    <m/>
  </r>
  <r>
    <n v="186"/>
    <x v="48"/>
    <x v="3"/>
    <s v="SF-005"/>
    <n v="3"/>
    <s v="SO45361"/>
    <x v="0"/>
    <s v="Radni sto"/>
    <s v="Vučković Sanja"/>
    <x v="4"/>
    <x v="2"/>
    <m/>
  </r>
  <r>
    <n v="186"/>
    <x v="55"/>
    <x v="3"/>
    <s v="RS-009"/>
    <n v="7"/>
    <s v="SO45360"/>
    <x v="1"/>
    <s v="Klub sto"/>
    <s v="Vučković Sanja"/>
    <x v="4"/>
    <x v="2"/>
    <m/>
  </r>
  <r>
    <n v="163"/>
    <x v="24"/>
    <x v="1"/>
    <s v="KS-001"/>
    <n v="17"/>
    <s v="SO45362"/>
    <x v="0"/>
    <s v="Trpezarijski sto"/>
    <s v="Jovanović Jelica"/>
    <x v="6"/>
    <x v="4"/>
    <m/>
  </r>
  <r>
    <n v="195"/>
    <x v="79"/>
    <x v="0"/>
    <s v="TS-002"/>
    <n v="45"/>
    <s v="SO45359"/>
    <x v="4"/>
    <s v="Viseća polica"/>
    <s v="Anić Antonina"/>
    <x v="0"/>
    <x v="0"/>
    <m/>
  </r>
  <r>
    <n v="127"/>
    <x v="67"/>
    <x v="4"/>
    <s v="VP-013"/>
    <n v="7"/>
    <s v="SO45363"/>
    <x v="2"/>
    <s v="Tabure"/>
    <s v="Nenadović Novak"/>
    <x v="8"/>
    <x v="5"/>
    <m/>
  </r>
  <r>
    <n v="157"/>
    <x v="64"/>
    <x v="2"/>
    <s v="TA-012"/>
    <n v="37"/>
    <s v="MO45364"/>
    <x v="0"/>
    <s v="Komoda"/>
    <s v="Ognjanović Jovan"/>
    <x v="9"/>
    <x v="6"/>
    <m/>
  </r>
  <r>
    <n v="179"/>
    <x v="18"/>
    <x v="3"/>
    <s v="KO-008"/>
    <n v="15"/>
    <s v="SO45366"/>
    <x v="0"/>
    <s v="Komoda"/>
    <s v="Vučković Sanja"/>
    <x v="5"/>
    <x v="3"/>
    <m/>
  </r>
  <r>
    <n v="151"/>
    <x v="17"/>
    <x v="1"/>
    <s v="KO-008"/>
    <n v="6"/>
    <s v="SO45365"/>
    <x v="0"/>
    <s v="Tabure"/>
    <s v="Jovanović Jelica"/>
    <x v="3"/>
    <x v="0"/>
    <m/>
  </r>
  <r>
    <n v="179"/>
    <x v="74"/>
    <x v="3"/>
    <s v="TA-012"/>
    <n v="19"/>
    <s v="SO45369"/>
    <x v="0"/>
    <s v="Noćni ormarić"/>
    <s v="Vučković Sanja"/>
    <x v="5"/>
    <x v="3"/>
    <m/>
  </r>
  <r>
    <n v="153"/>
    <x v="19"/>
    <x v="2"/>
    <s v="NO-007"/>
    <n v="14"/>
    <s v="SO45370"/>
    <x v="3"/>
    <s v="Polica za knjige"/>
    <s v="Ognjanović Jovan"/>
    <x v="1"/>
    <x v="1"/>
    <m/>
  </r>
  <r>
    <n v="195"/>
    <x v="78"/>
    <x v="0"/>
    <s v="PK-010"/>
    <n v="5"/>
    <s v="SO45368"/>
    <x v="0"/>
    <s v="Tabure"/>
    <s v="Anić Antonina"/>
    <x v="0"/>
    <x v="0"/>
    <m/>
  </r>
  <r>
    <n v="157"/>
    <x v="10"/>
    <x v="2"/>
    <s v="TA-012"/>
    <n v="21"/>
    <s v="SO45367"/>
    <x v="0"/>
    <s v="Rasklopiva fotelja"/>
    <s v="Ognjanović Jovan"/>
    <x v="9"/>
    <x v="6"/>
    <m/>
  </r>
  <r>
    <n v="108"/>
    <x v="46"/>
    <x v="0"/>
    <s v="RF-003"/>
    <n v="23"/>
    <s v="SO45375"/>
    <x v="0"/>
    <s v="Sofa"/>
    <s v="Anić Antonina"/>
    <x v="2"/>
    <x v="2"/>
    <m/>
  </r>
  <r>
    <n v="186"/>
    <x v="22"/>
    <x v="3"/>
    <s v="SF-005"/>
    <n v="30"/>
    <s v="MO45376"/>
    <x v="0"/>
    <s v="Viseća polica"/>
    <s v="Vučković Sanja"/>
    <x v="4"/>
    <x v="2"/>
    <m/>
  </r>
  <r>
    <n v="108"/>
    <x v="81"/>
    <x v="0"/>
    <s v="VP-013"/>
    <n v="35"/>
    <s v="SO45371"/>
    <x v="2"/>
    <s v="Viseća polica"/>
    <s v="Anić Antonina"/>
    <x v="2"/>
    <x v="2"/>
    <m/>
  </r>
  <r>
    <n v="153"/>
    <x v="76"/>
    <x v="2"/>
    <s v="VP-013"/>
    <n v="28"/>
    <s v="SO45372"/>
    <x v="2"/>
    <s v="Trpezarijski sto"/>
    <s v="Ognjanović Jovan"/>
    <x v="1"/>
    <x v="1"/>
    <m/>
  </r>
  <r>
    <n v="151"/>
    <x v="13"/>
    <x v="1"/>
    <s v="TS-002"/>
    <n v="31"/>
    <s v="SO45374"/>
    <x v="4"/>
    <s v="Klub sto"/>
    <s v="Jovanović Jelica"/>
    <x v="3"/>
    <x v="0"/>
    <m/>
  </r>
  <r>
    <n v="108"/>
    <x v="48"/>
    <x v="0"/>
    <s v="KS-001"/>
    <n v="14"/>
    <s v="SO45373"/>
    <x v="0"/>
    <s v="Noćni ormarić"/>
    <s v="Anić Antonina"/>
    <x v="2"/>
    <x v="2"/>
    <m/>
  </r>
  <r>
    <n v="108"/>
    <x v="1"/>
    <x v="0"/>
    <s v="NO-007"/>
    <n v="26"/>
    <s v="MO45384"/>
    <x v="3"/>
    <s v="Stolica za ručavanje"/>
    <s v="Anić Antonina"/>
    <x v="2"/>
    <x v="2"/>
    <m/>
  </r>
  <r>
    <n v="179"/>
    <x v="81"/>
    <x v="3"/>
    <s v="SR-006"/>
    <n v="7"/>
    <s v="SO45380"/>
    <x v="4"/>
    <s v="Noćni ormarić"/>
    <s v="Vučković Sanja"/>
    <x v="5"/>
    <x v="3"/>
    <m/>
  </r>
  <r>
    <n v="108"/>
    <x v="70"/>
    <x v="0"/>
    <s v="NO-007"/>
    <n v="13"/>
    <s v="MO45377"/>
    <x v="3"/>
    <s v="Viseća polica"/>
    <s v="Anić Antonina"/>
    <x v="2"/>
    <x v="2"/>
    <m/>
  </r>
  <r>
    <n v="153"/>
    <x v="75"/>
    <x v="2"/>
    <s v="VP-013"/>
    <n v="50"/>
    <s v="MO45381"/>
    <x v="2"/>
    <s v="Radni sto"/>
    <s v="Ognjanović Jovan"/>
    <x v="1"/>
    <x v="1"/>
    <m/>
  </r>
  <r>
    <n v="163"/>
    <x v="1"/>
    <x v="1"/>
    <s v="RS-009"/>
    <n v="50"/>
    <s v="SO45382"/>
    <x v="1"/>
    <s v="Noćni ormarić"/>
    <s v="Jovanović Jelica"/>
    <x v="6"/>
    <x v="4"/>
    <m/>
  </r>
  <r>
    <n v="186"/>
    <x v="0"/>
    <x v="3"/>
    <s v="NO-007"/>
    <n v="37"/>
    <s v="SO45378"/>
    <x v="3"/>
    <s v="Sofa"/>
    <s v="Vučković Sanja"/>
    <x v="4"/>
    <x v="2"/>
    <m/>
  </r>
  <r>
    <n v="108"/>
    <x v="61"/>
    <x v="0"/>
    <s v="SF-005"/>
    <n v="40"/>
    <s v="SO45383"/>
    <x v="0"/>
    <s v="Ogledalo za zid"/>
    <s v="Anić Antonina"/>
    <x v="2"/>
    <x v="2"/>
    <m/>
  </r>
  <r>
    <n v="153"/>
    <x v="46"/>
    <x v="2"/>
    <s v="OZ-011"/>
    <n v="28"/>
    <s v="SO45385"/>
    <x v="0"/>
    <s v="Viseća polica"/>
    <s v="Ognjanović Jovan"/>
    <x v="1"/>
    <x v="1"/>
    <m/>
  </r>
  <r>
    <n v="127"/>
    <x v="19"/>
    <x v="4"/>
    <s v="VP-013"/>
    <n v="46"/>
    <s v="SO45379"/>
    <x v="2"/>
    <s v="Kuhinjsko ostrvo"/>
    <s v="Nenadović Novak"/>
    <x v="8"/>
    <x v="5"/>
    <m/>
  </r>
  <r>
    <n v="152"/>
    <x v="42"/>
    <x v="4"/>
    <s v="KO-014"/>
    <n v="29"/>
    <s v="SO45386"/>
    <x v="2"/>
    <s v="Stolica za ručavanje"/>
    <s v="Nenadović Novak"/>
    <x v="7"/>
    <x v="0"/>
    <m/>
  </r>
  <r>
    <n v="152"/>
    <x v="54"/>
    <x v="4"/>
    <s v="SR-006"/>
    <n v="19"/>
    <s v="SO45388"/>
    <x v="4"/>
    <s v="Polica za knjige"/>
    <s v="Nenadović Novak"/>
    <x v="7"/>
    <x v="0"/>
    <m/>
  </r>
  <r>
    <n v="152"/>
    <x v="68"/>
    <x v="4"/>
    <s v="PK-010"/>
    <n v="33"/>
    <s v="SO45390"/>
    <x v="0"/>
    <s v="Ormarić za TV"/>
    <s v="Nenadović Novak"/>
    <x v="7"/>
    <x v="0"/>
    <m/>
  </r>
  <r>
    <n v="151"/>
    <x v="67"/>
    <x v="1"/>
    <s v="OT-004"/>
    <n v="7"/>
    <s v="SO45392"/>
    <x v="0"/>
    <s v="Ormarić za TV"/>
    <s v="Jovanović Jelica"/>
    <x v="3"/>
    <x v="0"/>
    <m/>
  </r>
  <r>
    <n v="157"/>
    <x v="7"/>
    <x v="2"/>
    <s v="OT-004"/>
    <n v="27"/>
    <s v="SO45391"/>
    <x v="0"/>
    <s v="Kuhinjsko ostrvo"/>
    <s v="Ognjanović Jovan"/>
    <x v="9"/>
    <x v="6"/>
    <m/>
  </r>
  <r>
    <n v="151"/>
    <x v="76"/>
    <x v="1"/>
    <s v="KO-014"/>
    <n v="32"/>
    <s v="SO45387"/>
    <x v="2"/>
    <s v="Rasklopiva fotelja"/>
    <s v="Jovanović Jelica"/>
    <x v="3"/>
    <x v="0"/>
    <m/>
  </r>
  <r>
    <n v="163"/>
    <x v="73"/>
    <x v="1"/>
    <s v="RF-003"/>
    <n v="47"/>
    <s v="SO45389"/>
    <x v="0"/>
    <s v="Ogledalo za zid"/>
    <s v="Jovanović Jelica"/>
    <x v="6"/>
    <x v="4"/>
    <m/>
  </r>
  <r>
    <n v="108"/>
    <x v="58"/>
    <x v="0"/>
    <s v="OZ-011"/>
    <n v="6"/>
    <s v="SO45394"/>
    <x v="0"/>
    <s v="Polica za knjige"/>
    <s v="Anić Antonina"/>
    <x v="2"/>
    <x v="2"/>
    <m/>
  </r>
  <r>
    <n v="151"/>
    <x v="73"/>
    <x v="1"/>
    <s v="PK-010"/>
    <n v="24"/>
    <s v="SO45395"/>
    <x v="0"/>
    <s v="Radni sto"/>
    <s v="Jovanović Jelica"/>
    <x v="3"/>
    <x v="0"/>
    <m/>
  </r>
  <r>
    <n v="153"/>
    <x v="29"/>
    <x v="2"/>
    <s v="RS-009"/>
    <n v="46"/>
    <s v="MO45393"/>
    <x v="1"/>
    <s v="Polica za knjige"/>
    <s v="Ognjanović Jovan"/>
    <x v="1"/>
    <x v="1"/>
    <m/>
  </r>
  <r>
    <n v="195"/>
    <x v="44"/>
    <x v="0"/>
    <s v="PK-010"/>
    <n v="26"/>
    <s v="SO45396"/>
    <x v="0"/>
    <s v="Noćni ormarić"/>
    <s v="Anić Antonina"/>
    <x v="0"/>
    <x v="0"/>
    <m/>
  </r>
  <r>
    <n v="153"/>
    <x v="41"/>
    <x v="2"/>
    <s v="NO-007"/>
    <n v="8"/>
    <s v="SO45397"/>
    <x v="3"/>
    <s v="Stolica za ručavanje"/>
    <s v="Ognjanović Jovan"/>
    <x v="1"/>
    <x v="1"/>
    <m/>
  </r>
  <r>
    <n v="195"/>
    <x v="32"/>
    <x v="0"/>
    <s v="SR-006"/>
    <n v="49"/>
    <s v="SO45398"/>
    <x v="4"/>
    <s v="Viseća polica"/>
    <s v="Anić Antonina"/>
    <x v="0"/>
    <x v="0"/>
    <m/>
  </r>
  <r>
    <n v="153"/>
    <x v="75"/>
    <x v="2"/>
    <s v="VP-013"/>
    <n v="14"/>
    <s v="SO45400"/>
    <x v="2"/>
    <s v="Kuhinjsko ostrvo"/>
    <s v="Ognjanović Jovan"/>
    <x v="1"/>
    <x v="1"/>
    <m/>
  </r>
  <r>
    <n v="157"/>
    <x v="15"/>
    <x v="2"/>
    <s v="KO-014"/>
    <n v="42"/>
    <s v="SO45406"/>
    <x v="2"/>
    <s v="Sofa"/>
    <s v="Ognjanović Jovan"/>
    <x v="9"/>
    <x v="6"/>
    <m/>
  </r>
  <r>
    <n v="163"/>
    <x v="22"/>
    <x v="1"/>
    <s v="SF-005"/>
    <n v="44"/>
    <s v="SO45401"/>
    <x v="0"/>
    <s v="Rasklopiva fotelja"/>
    <s v="Jovanović Jelica"/>
    <x v="6"/>
    <x v="4"/>
    <m/>
  </r>
  <r>
    <n v="153"/>
    <x v="78"/>
    <x v="2"/>
    <s v="RF-003"/>
    <n v="50"/>
    <s v="SO45405"/>
    <x v="0"/>
    <s v="Radni sto"/>
    <s v="Ognjanović Jovan"/>
    <x v="1"/>
    <x v="1"/>
    <m/>
  </r>
  <r>
    <n v="186"/>
    <x v="41"/>
    <x v="3"/>
    <s v="RS-009"/>
    <n v="40"/>
    <s v="SO45409"/>
    <x v="1"/>
    <s v="Sofa"/>
    <s v="Vučković Sanja"/>
    <x v="4"/>
    <x v="2"/>
    <m/>
  </r>
  <r>
    <n v="108"/>
    <x v="70"/>
    <x v="0"/>
    <s v="SF-005"/>
    <n v="43"/>
    <s v="SO45402"/>
    <x v="0"/>
    <s v="Stolica za ručavanje"/>
    <s v="Anić Antonina"/>
    <x v="2"/>
    <x v="2"/>
    <m/>
  </r>
  <r>
    <n v="151"/>
    <x v="2"/>
    <x v="1"/>
    <s v="SR-006"/>
    <n v="12"/>
    <s v="SO45404"/>
    <x v="4"/>
    <s v="Radni sto"/>
    <s v="Jovanović Jelica"/>
    <x v="3"/>
    <x v="0"/>
    <m/>
  </r>
  <r>
    <n v="163"/>
    <x v="20"/>
    <x v="1"/>
    <s v="RS-009"/>
    <n v="39"/>
    <s v="SO45407"/>
    <x v="1"/>
    <s v="Stolica za ručavanje"/>
    <s v="Jovanović Jelica"/>
    <x v="6"/>
    <x v="4"/>
    <m/>
  </r>
  <r>
    <n v="151"/>
    <x v="31"/>
    <x v="1"/>
    <s v="SR-006"/>
    <n v="24"/>
    <s v="SO45408"/>
    <x v="4"/>
    <s v="Radni sto"/>
    <s v="Jovanović Jelica"/>
    <x v="3"/>
    <x v="0"/>
    <m/>
  </r>
  <r>
    <n v="127"/>
    <x v="60"/>
    <x v="4"/>
    <s v="RS-009"/>
    <n v="14"/>
    <s v="SO45419"/>
    <x v="1"/>
    <s v="Radni sto"/>
    <s v="Nenadović Novak"/>
    <x v="8"/>
    <x v="5"/>
    <m/>
  </r>
  <r>
    <n v="163"/>
    <x v="37"/>
    <x v="1"/>
    <s v="RS-009"/>
    <n v="9"/>
    <s v="SO45412"/>
    <x v="1"/>
    <s v="Ormarić za TV"/>
    <s v="Jovanović Jelica"/>
    <x v="6"/>
    <x v="4"/>
    <m/>
  </r>
  <r>
    <n v="157"/>
    <x v="6"/>
    <x v="2"/>
    <s v="OT-004"/>
    <n v="13"/>
    <s v="SO45417"/>
    <x v="0"/>
    <s v="Tabure"/>
    <s v="Ognjanović Jovan"/>
    <x v="9"/>
    <x v="6"/>
    <m/>
  </r>
  <r>
    <n v="151"/>
    <x v="63"/>
    <x v="1"/>
    <s v="TA-012"/>
    <n v="8"/>
    <s v="SO45410"/>
    <x v="0"/>
    <s v="Noćni ormarić"/>
    <s v="Jovanović Jelica"/>
    <x v="3"/>
    <x v="0"/>
    <m/>
  </r>
  <r>
    <n v="108"/>
    <x v="50"/>
    <x v="0"/>
    <s v="NO-007"/>
    <n v="16"/>
    <s v="SO45416"/>
    <x v="3"/>
    <s v="Ogledalo za zid"/>
    <s v="Anić Antonina"/>
    <x v="2"/>
    <x v="2"/>
    <m/>
  </r>
  <r>
    <n v="163"/>
    <x v="60"/>
    <x v="1"/>
    <s v="OZ-011"/>
    <n v="2"/>
    <s v="SO45411"/>
    <x v="0"/>
    <s v="Stolica za ručavanje"/>
    <s v="Jovanović Jelica"/>
    <x v="6"/>
    <x v="4"/>
    <m/>
  </r>
  <r>
    <n v="151"/>
    <x v="5"/>
    <x v="1"/>
    <s v="SR-006"/>
    <n v="8"/>
    <s v="MO45414"/>
    <x v="4"/>
    <s v="Tabure"/>
    <s v="Jovanović Jelica"/>
    <x v="3"/>
    <x v="0"/>
    <m/>
  </r>
  <r>
    <n v="151"/>
    <x v="4"/>
    <x v="1"/>
    <s v="TA-012"/>
    <n v="39"/>
    <s v="SO45413"/>
    <x v="0"/>
    <s v="Radni sto"/>
    <s v="Jovanović Jelica"/>
    <x v="3"/>
    <x v="0"/>
    <m/>
  </r>
  <r>
    <n v="153"/>
    <x v="14"/>
    <x v="2"/>
    <s v="RS-009"/>
    <n v="47"/>
    <s v="SO45418"/>
    <x v="1"/>
    <s v="Sofa"/>
    <s v="Ognjanović Jovan"/>
    <x v="1"/>
    <x v="1"/>
    <m/>
  </r>
  <r>
    <n v="127"/>
    <x v="14"/>
    <x v="4"/>
    <s v="SF-005"/>
    <n v="26"/>
    <s v="SO45421"/>
    <x v="0"/>
    <s v="Ogledalo za zid"/>
    <s v="Nenadović Novak"/>
    <x v="8"/>
    <x v="5"/>
    <m/>
  </r>
  <r>
    <n v="186"/>
    <x v="3"/>
    <x v="3"/>
    <s v="OZ-011"/>
    <n v="29"/>
    <s v="SO45415"/>
    <x v="0"/>
    <s v="Komoda"/>
    <s v="Vučković Sanja"/>
    <x v="4"/>
    <x v="2"/>
    <m/>
  </r>
  <r>
    <n v="157"/>
    <x v="25"/>
    <x v="2"/>
    <s v="KO-008"/>
    <n v="25"/>
    <s v="SO45420"/>
    <x v="0"/>
    <s v="Komoda"/>
    <s v="Ognjanović Jovan"/>
    <x v="9"/>
    <x v="6"/>
    <m/>
  </r>
  <r>
    <n v="152"/>
    <x v="68"/>
    <x v="4"/>
    <s v="KO-008"/>
    <n v="3"/>
    <s v="SO45424"/>
    <x v="0"/>
    <s v="Trpezarijski sto"/>
    <s v="Nenadović Novak"/>
    <x v="7"/>
    <x v="0"/>
    <m/>
  </r>
  <r>
    <n v="179"/>
    <x v="41"/>
    <x v="3"/>
    <s v="TS-002"/>
    <n v="11"/>
    <s v="MO45423"/>
    <x v="4"/>
    <s v="Radni sto"/>
    <s v="Vučković Sanja"/>
    <x v="5"/>
    <x v="3"/>
    <m/>
  </r>
  <r>
    <n v="186"/>
    <x v="53"/>
    <x v="3"/>
    <s v="RS-009"/>
    <n v="29"/>
    <s v="SO45422"/>
    <x v="1"/>
    <s v="Viseća polica"/>
    <s v="Vučković Sanja"/>
    <x v="4"/>
    <x v="2"/>
    <m/>
  </r>
  <r>
    <n v="186"/>
    <x v="65"/>
    <x v="3"/>
    <s v="VP-013"/>
    <n v="33"/>
    <s v="SO45428"/>
    <x v="2"/>
    <s v="Polica za knjige"/>
    <s v="Vučković Sanja"/>
    <x v="4"/>
    <x v="2"/>
    <m/>
  </r>
  <r>
    <n v="157"/>
    <x v="73"/>
    <x v="2"/>
    <s v="PK-010"/>
    <n v="50"/>
    <s v="SO45427"/>
    <x v="0"/>
    <s v="Stolica za ručavanje"/>
    <s v="Ognjanović Jovan"/>
    <x v="9"/>
    <x v="6"/>
    <m/>
  </r>
  <r>
    <n v="152"/>
    <x v="3"/>
    <x v="4"/>
    <s v="SR-006"/>
    <n v="48"/>
    <s v="SO45425"/>
    <x v="4"/>
    <s v="Komoda"/>
    <s v="Nenadović Novak"/>
    <x v="7"/>
    <x v="0"/>
    <m/>
  </r>
  <r>
    <n v="179"/>
    <x v="1"/>
    <x v="3"/>
    <s v="KO-008"/>
    <n v="5"/>
    <s v="SO45431"/>
    <x v="0"/>
    <s v="Polica za knjige"/>
    <s v="Vučković Sanja"/>
    <x v="5"/>
    <x v="3"/>
    <m/>
  </r>
  <r>
    <n v="151"/>
    <x v="78"/>
    <x v="1"/>
    <s v="PK-010"/>
    <n v="39"/>
    <s v="SO45429"/>
    <x v="0"/>
    <s v="Viseća polica"/>
    <s v="Jovanović Jelica"/>
    <x v="3"/>
    <x v="0"/>
    <m/>
  </r>
  <r>
    <n v="127"/>
    <x v="59"/>
    <x v="4"/>
    <s v="VP-013"/>
    <n v="41"/>
    <s v="SO45430"/>
    <x v="2"/>
    <s v="Noćni ormarić"/>
    <s v="Nenadović Novak"/>
    <x v="8"/>
    <x v="5"/>
    <m/>
  </r>
  <r>
    <n v="127"/>
    <x v="77"/>
    <x v="4"/>
    <s v="NO-007"/>
    <n v="39"/>
    <s v="SO45433"/>
    <x v="3"/>
    <s v="Tabure"/>
    <s v="Nenadović Novak"/>
    <x v="8"/>
    <x v="5"/>
    <m/>
  </r>
  <r>
    <n v="157"/>
    <x v="38"/>
    <x v="2"/>
    <s v="TA-012"/>
    <n v="5"/>
    <s v="SO45439"/>
    <x v="0"/>
    <s v="Stolica za ručavanje"/>
    <s v="Ognjanović Jovan"/>
    <x v="9"/>
    <x v="6"/>
    <m/>
  </r>
  <r>
    <n v="179"/>
    <x v="16"/>
    <x v="3"/>
    <s v="SR-006"/>
    <n v="40"/>
    <s v="SO45435"/>
    <x v="4"/>
    <s v="Ormarić za TV"/>
    <s v="Vučković Sanja"/>
    <x v="5"/>
    <x v="3"/>
    <m/>
  </r>
  <r>
    <n v="151"/>
    <x v="66"/>
    <x v="1"/>
    <s v="OT-004"/>
    <n v="12"/>
    <s v="SO45436"/>
    <x v="0"/>
    <s v="Radni sto"/>
    <s v="Jovanović Jelica"/>
    <x v="3"/>
    <x v="0"/>
    <m/>
  </r>
  <r>
    <n v="108"/>
    <x v="10"/>
    <x v="0"/>
    <s v="RS-009"/>
    <n v="10"/>
    <s v="SO45437"/>
    <x v="1"/>
    <s v="Sofa"/>
    <s v="Anić Antonina"/>
    <x v="2"/>
    <x v="2"/>
    <m/>
  </r>
  <r>
    <n v="108"/>
    <x v="57"/>
    <x v="0"/>
    <s v="SF-005"/>
    <n v="39"/>
    <s v="SO45434"/>
    <x v="0"/>
    <s v="Viseća polica"/>
    <s v="Anić Antonina"/>
    <x v="2"/>
    <x v="2"/>
    <m/>
  </r>
  <r>
    <n v="163"/>
    <x v="82"/>
    <x v="1"/>
    <s v="VP-013"/>
    <n v="14"/>
    <s v="SO45438"/>
    <x v="2"/>
    <s v="Ogledalo za zid"/>
    <s v="Jovanović Jelica"/>
    <x v="6"/>
    <x v="4"/>
    <m/>
  </r>
  <r>
    <n v="127"/>
    <x v="12"/>
    <x v="4"/>
    <s v="OZ-011"/>
    <n v="42"/>
    <s v="SO45432"/>
    <x v="0"/>
    <s v="Trpezarijski sto"/>
    <s v="Nenadović Novak"/>
    <x v="8"/>
    <x v="5"/>
    <m/>
  </r>
  <r>
    <n v="195"/>
    <x v="40"/>
    <x v="0"/>
    <s v="TS-002"/>
    <n v="9"/>
    <s v="MO45444"/>
    <x v="4"/>
    <s v="Viseća polica"/>
    <s v="Anić Antonina"/>
    <x v="0"/>
    <x v="0"/>
    <m/>
  </r>
  <r>
    <n v="108"/>
    <x v="72"/>
    <x v="0"/>
    <s v="VP-013"/>
    <n v="3"/>
    <s v="MO45440"/>
    <x v="2"/>
    <s v="Sofa"/>
    <s v="Anić Antonina"/>
    <x v="2"/>
    <x v="2"/>
    <m/>
  </r>
  <r>
    <n v="127"/>
    <x v="52"/>
    <x v="4"/>
    <s v="SF-005"/>
    <n v="48"/>
    <s v="SO45441"/>
    <x v="0"/>
    <s v="Viseća polica"/>
    <s v="Nenadović Novak"/>
    <x v="8"/>
    <x v="5"/>
    <m/>
  </r>
  <r>
    <n v="186"/>
    <x v="55"/>
    <x v="3"/>
    <s v="VP-013"/>
    <n v="46"/>
    <s v="SO45443"/>
    <x v="2"/>
    <s v="Sofa"/>
    <s v="Vučković Sanja"/>
    <x v="4"/>
    <x v="2"/>
    <m/>
  </r>
  <r>
    <n v="163"/>
    <x v="83"/>
    <x v="1"/>
    <s v="SF-005"/>
    <n v="34"/>
    <s v="SO45442"/>
    <x v="0"/>
    <s v="Radni sto"/>
    <s v="Jovanović Jelica"/>
    <x v="6"/>
    <x v="4"/>
    <m/>
  </r>
  <r>
    <n v="186"/>
    <x v="66"/>
    <x v="3"/>
    <s v="RS-009"/>
    <n v="33"/>
    <s v="SO45445"/>
    <x v="1"/>
    <s v="Ormarić za TV"/>
    <s v="Vučković Sanja"/>
    <x v="4"/>
    <x v="2"/>
    <m/>
  </r>
  <r>
    <n v="195"/>
    <x v="2"/>
    <x v="0"/>
    <s v="OT-004"/>
    <n v="12"/>
    <s v="MO45447"/>
    <x v="0"/>
    <s v="Kuhinjsko ostrvo"/>
    <s v="Anić Antonina"/>
    <x v="0"/>
    <x v="0"/>
    <m/>
  </r>
  <r>
    <n v="179"/>
    <x v="1"/>
    <x v="3"/>
    <s v="KO-014"/>
    <n v="6"/>
    <s v="SO45446"/>
    <x v="2"/>
    <s v="Viseća polica"/>
    <s v="Vučković Sanja"/>
    <x v="5"/>
    <x v="3"/>
    <m/>
  </r>
  <r>
    <n v="163"/>
    <x v="67"/>
    <x v="1"/>
    <s v="VP-013"/>
    <n v="40"/>
    <s v="SO45448"/>
    <x v="2"/>
    <s v="Noćni ormarić"/>
    <s v="Jovanović Jelica"/>
    <x v="6"/>
    <x v="4"/>
    <m/>
  </r>
  <r>
    <n v="163"/>
    <x v="27"/>
    <x v="1"/>
    <s v="NO-007"/>
    <n v="5"/>
    <s v="SO45450"/>
    <x v="3"/>
    <s v="Stolica za ručavanje"/>
    <s v="Jovanović Jelica"/>
    <x v="6"/>
    <x v="4"/>
    <m/>
  </r>
  <r>
    <n v="179"/>
    <x v="25"/>
    <x v="3"/>
    <s v="SR-006"/>
    <n v="13"/>
    <s v="MO45452"/>
    <x v="4"/>
    <s v="Ogledalo za zid"/>
    <s v="Vučković Sanja"/>
    <x v="5"/>
    <x v="3"/>
    <m/>
  </r>
  <r>
    <n v="186"/>
    <x v="20"/>
    <x v="4"/>
    <s v="OZ-011"/>
    <n v="42"/>
    <s v="SO45451"/>
    <x v="0"/>
    <s v="Stolica za ručavanje"/>
    <s v="Nenadović Novak"/>
    <x v="4"/>
    <x v="2"/>
    <m/>
  </r>
  <r>
    <n v="152"/>
    <x v="13"/>
    <x v="4"/>
    <s v="SR-006"/>
    <n v="45"/>
    <s v="SO45449"/>
    <x v="4"/>
    <s v="Radni sto"/>
    <s v="Nenadović Novak"/>
    <x v="7"/>
    <x v="0"/>
    <m/>
  </r>
  <r>
    <n v="153"/>
    <x v="32"/>
    <x v="2"/>
    <s v="RS-009"/>
    <n v="48"/>
    <s v="SO45453"/>
    <x v="1"/>
    <s v="Kuhinjsko ostrvo"/>
    <s v="Ognjanović Jovan"/>
    <x v="1"/>
    <x v="1"/>
    <m/>
  </r>
  <r>
    <n v="195"/>
    <x v="57"/>
    <x v="0"/>
    <s v="KO-014"/>
    <n v="12"/>
    <s v="SO45454"/>
    <x v="2"/>
    <s v="Komoda"/>
    <s v="Anić Antonina"/>
    <x v="0"/>
    <x v="0"/>
    <m/>
  </r>
  <r>
    <n v="195"/>
    <x v="76"/>
    <x v="0"/>
    <s v="KO-008"/>
    <n v="48"/>
    <s v="SO45458"/>
    <x v="0"/>
    <s v="Ogledalo za zid"/>
    <s v="Anić Antonina"/>
    <x v="0"/>
    <x v="0"/>
    <m/>
  </r>
  <r>
    <n v="163"/>
    <x v="84"/>
    <x v="1"/>
    <s v="OZ-011"/>
    <n v="39"/>
    <s v="SO45459"/>
    <x v="0"/>
    <s v="Radni sto"/>
    <s v="Jovanović Jelica"/>
    <x v="6"/>
    <x v="4"/>
    <m/>
  </r>
  <r>
    <n v="186"/>
    <x v="5"/>
    <x v="3"/>
    <s v="RS-009"/>
    <n v="49"/>
    <s v="SO45457"/>
    <x v="1"/>
    <s v="Ogledalo za zid"/>
    <s v="Vučković Sanja"/>
    <x v="4"/>
    <x v="2"/>
    <m/>
  </r>
  <r>
    <n v="108"/>
    <x v="72"/>
    <x v="0"/>
    <s v="OZ-011"/>
    <n v="29"/>
    <s v="SO45455"/>
    <x v="0"/>
    <s v="Sofa"/>
    <s v="Anić Antonina"/>
    <x v="2"/>
    <x v="2"/>
    <m/>
  </r>
  <r>
    <n v="127"/>
    <x v="40"/>
    <x v="4"/>
    <s v="SF-005"/>
    <n v="50"/>
    <s v="MO45456"/>
    <x v="0"/>
    <s v="Komoda"/>
    <s v="Nenadović Novak"/>
    <x v="8"/>
    <x v="5"/>
    <m/>
  </r>
  <r>
    <n v="151"/>
    <x v="71"/>
    <x v="1"/>
    <s v="KO-008"/>
    <n v="43"/>
    <s v="MO45461"/>
    <x v="0"/>
    <e v="#N/A"/>
    <s v="Jovanović Jelica"/>
    <x v="3"/>
    <x v="0"/>
    <m/>
  </r>
  <r>
    <m/>
    <x v="85"/>
    <x v="5"/>
    <m/>
    <m/>
    <m/>
    <x v="5"/>
    <m/>
    <m/>
    <x v="10"/>
    <x v="7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n v="195"/>
    <d v="2024-01-16T00:00:00"/>
    <x v="0"/>
    <s v="OT-004"/>
    <n v="29"/>
    <s v="SO45080"/>
    <x v="0"/>
    <s v="Ormarić za TV"/>
    <s v="Anić Antonina"/>
    <s v="Moderni Dom"/>
    <s v="Srbija"/>
    <n v="7762"/>
  </r>
  <r>
    <n v="153"/>
    <d v="2024-01-17T00:00:00"/>
    <x v="1"/>
    <s v="RS-009"/>
    <n v="7"/>
    <s v="SO45079"/>
    <x v="1"/>
    <s v="Radni sto"/>
    <s v="Jovanović Jelica"/>
    <s v="Udobni Kutak"/>
    <s v="Južni region"/>
    <m/>
  </r>
  <r>
    <n v="153"/>
    <d v="2024-03-10T00:00:00"/>
    <x v="2"/>
    <s v="RF-003"/>
    <n v="12"/>
    <s v="SO45082"/>
    <x v="0"/>
    <s v="Rasklopiva fotelja"/>
    <s v="Ognjanović Jovan"/>
    <s v="Udobni Kutak"/>
    <s v="Južni region"/>
    <m/>
  </r>
  <r>
    <n v="153"/>
    <d v="2024-03-12T00:00:00"/>
    <x v="2"/>
    <s v="OZ-011"/>
    <n v="34"/>
    <s v="MO45081"/>
    <x v="0"/>
    <s v="Ogledalo za zid"/>
    <s v="Ognjanović Jovan"/>
    <s v="Udobni Kutak"/>
    <s v="Južni region"/>
    <m/>
  </r>
  <r>
    <n v="108"/>
    <d v="2024-01-30T00:00:00"/>
    <x v="0"/>
    <s v="VP-013"/>
    <n v="34"/>
    <s v="MO45083"/>
    <x v="2"/>
    <s v="Viseća polica"/>
    <s v="Anić Antonina"/>
    <s v="Dom &amp; Dekor"/>
    <s v="Beogradski region"/>
    <m/>
  </r>
  <r>
    <n v="151"/>
    <d v="2024-02-14T00:00:00"/>
    <x v="1"/>
    <s v="OT-004"/>
    <n v="41"/>
    <s v="SO45084"/>
    <x v="0"/>
    <s v="Ormarić za TV"/>
    <s v="Jovanović Jelica"/>
    <s v="Estetski Kutak"/>
    <s v="Srbija"/>
    <m/>
  </r>
  <r>
    <n v="186"/>
    <d v="2024-02-06T00:00:00"/>
    <x v="3"/>
    <s v="OZ-011"/>
    <n v="26"/>
    <s v="MO45086"/>
    <x v="0"/>
    <s v="Ogledalo za zid"/>
    <s v="Vučković Sanja"/>
    <s v="Kuća- Uređenje i Dizajn"/>
    <s v="Beogradski region"/>
    <m/>
  </r>
  <r>
    <n v="179"/>
    <d v="2024-01-24T00:00:00"/>
    <x v="3"/>
    <s v="PK-010"/>
    <n v="12"/>
    <s v="MO45085"/>
    <x v="0"/>
    <s v="Polica za knjige"/>
    <s v="Vučković Sanja"/>
    <s v="Elegantni Enterijeri"/>
    <s v="Južni i Šumadijski region"/>
    <m/>
  </r>
  <r>
    <n v="151"/>
    <d v="2024-02-06T00:00:00"/>
    <x v="1"/>
    <s v="KO-008"/>
    <n v="49"/>
    <s v="SO45093"/>
    <x v="0"/>
    <s v="Komoda"/>
    <s v="Jovanović Jelica"/>
    <s v="Estetski Kutak"/>
    <s v="Srbija"/>
    <m/>
  </r>
  <r>
    <n v="151"/>
    <d v="2024-01-19T00:00:00"/>
    <x v="1"/>
    <s v="TA-012"/>
    <n v="41"/>
    <s v="SO45090"/>
    <x v="0"/>
    <s v="Tabure"/>
    <s v="Jovanović Jelica"/>
    <s v="Estetski Kutak"/>
    <s v="Srbija"/>
    <m/>
  </r>
  <r>
    <n v="163"/>
    <d v="2024-02-25T00:00:00"/>
    <x v="1"/>
    <s v="KS-001"/>
    <n v="36"/>
    <s v="SO45088"/>
    <x v="0"/>
    <s v="Klub sto"/>
    <s v="Jovanović Jelica"/>
    <s v="Sofistikacija Doma"/>
    <s v="Šumadija"/>
    <m/>
  </r>
  <r>
    <n v="153"/>
    <d v="2024-03-02T00:00:00"/>
    <x v="2"/>
    <s v="NO-007"/>
    <n v="5"/>
    <s v="SO45092"/>
    <x v="3"/>
    <s v="Noćni ormarić"/>
    <s v="Ognjanović Jovan"/>
    <s v="Udobni Kutak"/>
    <s v="Južni region"/>
    <m/>
  </r>
  <r>
    <n v="151"/>
    <d v="2024-01-10T00:00:00"/>
    <x v="3"/>
    <s v="PK-010"/>
    <n v="33"/>
    <s v="SO45089"/>
    <x v="0"/>
    <s v="Polica za knjige"/>
    <s v="Vučković Sanja"/>
    <s v="Estetski Kutak"/>
    <s v="Srbija"/>
    <m/>
  </r>
  <r>
    <n v="152"/>
    <d v="2024-02-08T00:00:00"/>
    <x v="4"/>
    <s v="OT-004"/>
    <n v="46"/>
    <s v="SO45091"/>
    <x v="0"/>
    <s v="Ormarić za TV"/>
    <s v="Nenadović Novak"/>
    <s v="Prostor za Uživanje"/>
    <s v="Srbija"/>
    <m/>
  </r>
  <r>
    <n v="108"/>
    <d v="2024-03-22T00:00:00"/>
    <x v="0"/>
    <s v="RF-003"/>
    <n v="2"/>
    <s v="SO45087"/>
    <x v="0"/>
    <s v="Rasklopiva fotelja"/>
    <s v="Anić Antonina"/>
    <s v="Dom &amp; Dekor"/>
    <s v="Beogradski region"/>
    <m/>
  </r>
  <r>
    <n v="108"/>
    <d v="2024-03-22T00:00:00"/>
    <x v="0"/>
    <s v="RF-003"/>
    <n v="31"/>
    <s v="SO45094"/>
    <x v="0"/>
    <s v="Rasklopiva fotelja"/>
    <s v="Anić Antonina"/>
    <s v="Dom &amp; Dekor"/>
    <s v="Beogradski region"/>
    <m/>
  </r>
  <r>
    <n v="127"/>
    <d v="2024-03-12T00:00:00"/>
    <x v="4"/>
    <s v="KS-001"/>
    <n v="21"/>
    <s v="SO45096"/>
    <x v="0"/>
    <s v="Klub sto"/>
    <s v="Nenadović Novak"/>
    <s v="Luksuzni Dizajn"/>
    <s v="Vojvodina"/>
    <m/>
  </r>
  <r>
    <n v="179"/>
    <d v="2024-03-28T00:00:00"/>
    <x v="3"/>
    <s v="TA-012"/>
    <n v="23"/>
    <s v="SO45097"/>
    <x v="0"/>
    <s v="Tabure"/>
    <s v="Vučković Sanja"/>
    <s v="Elegantni Enterijeri"/>
    <s v="Južni i Šumadijski region"/>
    <m/>
  </r>
  <r>
    <n v="157"/>
    <d v="2024-02-27T00:00:00"/>
    <x v="2"/>
    <s v="PK-010"/>
    <n v="19"/>
    <s v="SO45098"/>
    <x v="0"/>
    <s v="Polica za knjige"/>
    <s v="Ognjanović Jovan"/>
    <s v="Stilski Stan"/>
    <s v="Vojvodina i Beograd"/>
    <m/>
  </r>
  <r>
    <n v="163"/>
    <d v="2024-02-07T00:00:00"/>
    <x v="1"/>
    <s v="RF-003"/>
    <n v="49"/>
    <s v="MO45095"/>
    <x v="0"/>
    <s v="Rasklopiva fotelja"/>
    <s v="Jovanović Jelica"/>
    <s v="Sofistikacija Doma"/>
    <s v="Šumadija"/>
    <m/>
  </r>
  <r>
    <n v="186"/>
    <d v="2024-01-19T00:00:00"/>
    <x v="3"/>
    <s v="OZ-011"/>
    <n v="31"/>
    <s v="SO45099"/>
    <x v="0"/>
    <s v="Ogledalo za zid"/>
    <s v="Vučković Sanja"/>
    <s v="Kuća- Uređenje i Dizajn"/>
    <s v="Beogradski region"/>
    <m/>
  </r>
  <r>
    <n v="186"/>
    <d v="2024-03-24T00:00:00"/>
    <x v="3"/>
    <s v="RF-003"/>
    <n v="28"/>
    <s v="SO45101"/>
    <x v="0"/>
    <s v="Rasklopiva fotelja"/>
    <s v="Vučković Sanja"/>
    <s v="Kuća- Uređenje i Dizajn"/>
    <s v="Beogradski region"/>
    <m/>
  </r>
  <r>
    <n v="151"/>
    <d v="2024-02-06T00:00:00"/>
    <x v="3"/>
    <s v="SR-006"/>
    <n v="43"/>
    <s v="SO45100"/>
    <x v="4"/>
    <s v="Stolica za ručavanje"/>
    <s v="Vučković Sanja"/>
    <s v="Estetski Kutak"/>
    <s v="Srbija"/>
    <m/>
  </r>
  <r>
    <n v="152"/>
    <d v="2024-01-29T00:00:00"/>
    <x v="4"/>
    <s v="SR-006"/>
    <n v="8"/>
    <s v="SO45102"/>
    <x v="4"/>
    <s v="Stolica za ručavanje"/>
    <s v="Nenadović Novak"/>
    <s v="Prostor za Uživanje"/>
    <s v="Srbija"/>
    <m/>
  </r>
  <r>
    <n v="163"/>
    <d v="2024-01-19T00:00:00"/>
    <x v="1"/>
    <s v="KS-001"/>
    <n v="47"/>
    <s v="SO45104"/>
    <x v="0"/>
    <s v="Klub sto"/>
    <s v="Jovanović Jelica"/>
    <s v="Sofistikacija Doma"/>
    <s v="Šumadija"/>
    <m/>
  </r>
  <r>
    <n v="179"/>
    <d v="2024-03-19T00:00:00"/>
    <x v="3"/>
    <s v="KO-014"/>
    <n v="50"/>
    <s v="MO45108"/>
    <x v="2"/>
    <s v="Kuhinjsko ostrvo"/>
    <s v="Vučković Sanja"/>
    <s v="Elegantni Enterijeri"/>
    <s v="Južni i Šumadijski region"/>
    <m/>
  </r>
  <r>
    <n v="179"/>
    <d v="2024-01-12T00:00:00"/>
    <x v="3"/>
    <s v="KO-014"/>
    <n v="26"/>
    <s v="SO45105"/>
    <x v="2"/>
    <s v="Kuhinjsko ostrvo"/>
    <s v="Vučković Sanja"/>
    <s v="Elegantni Enterijeri"/>
    <s v="Južni i Šumadijski region"/>
    <m/>
  </r>
  <r>
    <n v="195"/>
    <d v="2024-01-23T00:00:00"/>
    <x v="0"/>
    <s v="TA-012"/>
    <n v="33"/>
    <s v="SO45103"/>
    <x v="0"/>
    <s v="Tabure"/>
    <s v="Anić Antonina"/>
    <s v="Moderni Dom"/>
    <s v="Srbija"/>
    <m/>
  </r>
  <r>
    <n v="163"/>
    <d v="2024-03-22T00:00:00"/>
    <x v="1"/>
    <s v="NO-007"/>
    <n v="47"/>
    <s v="SO45106"/>
    <x v="3"/>
    <s v="Noćni ormarić"/>
    <s v="Jovanović Jelica"/>
    <s v="Sofistikacija Doma"/>
    <s v="Šumadija"/>
    <m/>
  </r>
  <r>
    <n v="152"/>
    <d v="2024-03-16T00:00:00"/>
    <x v="4"/>
    <s v="TA-012"/>
    <n v="22"/>
    <s v="SO45107"/>
    <x v="0"/>
    <s v="Tabure"/>
    <s v="Nenadović Novak"/>
    <s v="Prostor za Uživanje"/>
    <s v="Srbija"/>
    <m/>
  </r>
  <r>
    <n v="179"/>
    <d v="2024-02-11T00:00:00"/>
    <x v="3"/>
    <s v="TA-012"/>
    <n v="12"/>
    <s v="MO45109"/>
    <x v="0"/>
    <s v="Tabure"/>
    <s v="Vučković Sanja"/>
    <s v="Elegantni Enterijeri"/>
    <s v="Južni i Šumadijski region"/>
    <m/>
  </r>
  <r>
    <n v="108"/>
    <d v="2024-03-29T00:00:00"/>
    <x v="0"/>
    <s v="OZ-011"/>
    <n v="42"/>
    <s v="SO45112"/>
    <x v="0"/>
    <s v="Ogledalo za zid"/>
    <s v="Anić Antonina"/>
    <s v="Dom &amp; Dekor"/>
    <s v="Beogradski region"/>
    <m/>
  </r>
  <r>
    <n v="163"/>
    <d v="2024-01-10T00:00:00"/>
    <x v="1"/>
    <s v="RF-003"/>
    <n v="6"/>
    <s v="SO45111"/>
    <x v="0"/>
    <s v="Rasklopiva fotelja"/>
    <s v="Jovanović Jelica"/>
    <s v="Sofistikacija Doma"/>
    <s v="Šumadija"/>
    <m/>
  </r>
  <r>
    <n v="127"/>
    <d v="2024-03-08T00:00:00"/>
    <x v="4"/>
    <s v="NO-007"/>
    <n v="8"/>
    <s v="SO45110"/>
    <x v="3"/>
    <s v="Noćni ormarić"/>
    <s v="Nenadović Novak"/>
    <s v="Luksuzni Dizajn"/>
    <s v="Vojvodina"/>
    <m/>
  </r>
  <r>
    <n v="157"/>
    <d v="2024-01-11T00:00:00"/>
    <x v="2"/>
    <s v="SR-006"/>
    <n v="14"/>
    <s v="SO45119"/>
    <x v="4"/>
    <s v="Stolica za ručavanje"/>
    <s v="Ognjanović Jovan"/>
    <s v="Stilski Stan"/>
    <s v="Vojvodina i Beograd"/>
    <m/>
  </r>
  <r>
    <n v="157"/>
    <d v="2024-01-28T00:00:00"/>
    <x v="2"/>
    <s v="SR-006"/>
    <n v="3"/>
    <s v="MO45117"/>
    <x v="4"/>
    <s v="Stolica za ručavanje"/>
    <s v="Ognjanović Jovan"/>
    <s v="Stilski Stan"/>
    <s v="Vojvodina i Beograd"/>
    <m/>
  </r>
  <r>
    <n v="153"/>
    <d v="2024-02-14T00:00:00"/>
    <x v="2"/>
    <s v="RF-003"/>
    <n v="33"/>
    <s v="SO45116"/>
    <x v="0"/>
    <s v="Rasklopiva fotelja"/>
    <s v="Ognjanović Jovan"/>
    <s v="Udobni Kutak"/>
    <s v="Južni region"/>
    <m/>
  </r>
  <r>
    <n v="195"/>
    <d v="2024-03-15T00:00:00"/>
    <x v="0"/>
    <s v="TA-012"/>
    <n v="44"/>
    <s v="SO45114"/>
    <x v="0"/>
    <s v="Tabure"/>
    <s v="Anić Antonina"/>
    <s v="Moderni Dom"/>
    <s v="Srbija"/>
    <m/>
  </r>
  <r>
    <n v="153"/>
    <d v="2024-03-12T00:00:00"/>
    <x v="2"/>
    <s v="SF-005"/>
    <n v="46"/>
    <s v="SO45115"/>
    <x v="0"/>
    <s v="Sofa"/>
    <s v="Ognjanović Jovan"/>
    <s v="Udobni Kutak"/>
    <s v="Južni region"/>
    <m/>
  </r>
  <r>
    <n v="157"/>
    <d v="2024-02-01T00:00:00"/>
    <x v="2"/>
    <s v="KO-008"/>
    <n v="16"/>
    <s v="SO45118"/>
    <x v="0"/>
    <s v="Komoda"/>
    <s v="Ognjanović Jovan"/>
    <s v="Stilski Stan"/>
    <s v="Vojvodina i Beograd"/>
    <m/>
  </r>
  <r>
    <n v="152"/>
    <d v="2024-01-08T00:00:00"/>
    <x v="4"/>
    <s v="TA-012"/>
    <n v="25"/>
    <s v="MO45113"/>
    <x v="0"/>
    <s v="Tabure"/>
    <s v="Nenadović Novak"/>
    <s v="Prostor za Uživanje"/>
    <s v="Srbija"/>
    <m/>
  </r>
  <r>
    <n v="108"/>
    <d v="2024-03-08T00:00:00"/>
    <x v="0"/>
    <s v="OZ-011"/>
    <n v="46"/>
    <s v="SO45120"/>
    <x v="0"/>
    <s v="Ogledalo za zid"/>
    <s v="Anić Antonina"/>
    <s v="Dom &amp; Dekor"/>
    <s v="Beogradski region"/>
    <m/>
  </r>
  <r>
    <n v="151"/>
    <d v="2024-01-15T00:00:00"/>
    <x v="1"/>
    <s v="TA-012"/>
    <n v="50"/>
    <s v="SO45124"/>
    <x v="0"/>
    <s v="Tabure"/>
    <s v="Jovanović Jelica"/>
    <s v="Estetski Kutak"/>
    <s v="Srbija"/>
    <m/>
  </r>
  <r>
    <n v="157"/>
    <d v="2024-01-08T00:00:00"/>
    <x v="2"/>
    <s v="TA-012"/>
    <n v="25"/>
    <s v="SO45122"/>
    <x v="0"/>
    <s v="Tabure"/>
    <s v="Ognjanović Jovan"/>
    <s v="Stilski Stan"/>
    <s v="Vojvodina i Beograd"/>
    <m/>
  </r>
  <r>
    <n v="195"/>
    <d v="2024-01-30T00:00:00"/>
    <x v="0"/>
    <s v="TS-002"/>
    <n v="5"/>
    <s v="MO45123"/>
    <x v="4"/>
    <s v="Trpezarijski sto"/>
    <s v="Anić Antonina"/>
    <s v="Moderni Dom"/>
    <s v="Srbija"/>
    <m/>
  </r>
  <r>
    <n v="153"/>
    <d v="2024-03-01T00:00:00"/>
    <x v="2"/>
    <s v="NO-007"/>
    <n v="23"/>
    <s v="SO45121"/>
    <x v="3"/>
    <s v="Noćni ormarić"/>
    <s v="Ognjanović Jovan"/>
    <s v="Udobni Kutak"/>
    <s v="Južni region"/>
    <m/>
  </r>
  <r>
    <n v="157"/>
    <d v="2024-03-07T00:00:00"/>
    <x v="2"/>
    <s v="TS-002"/>
    <n v="23"/>
    <s v="SO45129"/>
    <x v="4"/>
    <s v="Trpezarijski sto"/>
    <s v="Ognjanović Jovan"/>
    <s v="Stilski Stan"/>
    <s v="Vojvodina i Beograd"/>
    <m/>
  </r>
  <r>
    <n v="152"/>
    <d v="2024-03-13T00:00:00"/>
    <x v="4"/>
    <s v="KO-014"/>
    <n v="2"/>
    <s v="SO45127"/>
    <x v="2"/>
    <s v="Kuhinjsko ostrvo"/>
    <s v="Nenadović Novak"/>
    <s v="Prostor za Uživanje"/>
    <s v="Srbija"/>
    <m/>
  </r>
  <r>
    <n v="152"/>
    <d v="2024-01-14T00:00:00"/>
    <x v="0"/>
    <s v="KO-008"/>
    <n v="49"/>
    <s v="SO45128"/>
    <x v="0"/>
    <s v="Komoda"/>
    <s v="Anić Antonina"/>
    <s v="Prostor za Uživanje"/>
    <s v="Srbija"/>
    <m/>
  </r>
  <r>
    <n v="163"/>
    <d v="2024-02-14T00:00:00"/>
    <x v="1"/>
    <s v="RF-003"/>
    <n v="36"/>
    <s v="SO45126"/>
    <x v="0"/>
    <s v="Rasklopiva fotelja"/>
    <s v="Jovanović Jelica"/>
    <s v="Sofistikacija Doma"/>
    <s v="Šumadija"/>
    <m/>
  </r>
  <r>
    <n v="179"/>
    <d v="2024-03-17T00:00:00"/>
    <x v="3"/>
    <s v="PK-010"/>
    <n v="45"/>
    <s v="SO45136"/>
    <x v="0"/>
    <s v="Polica za knjige"/>
    <s v="Vučković Sanja"/>
    <s v="Elegantni Enterijeri"/>
    <s v="Južni i Šumadijski region"/>
    <m/>
  </r>
  <r>
    <n v="195"/>
    <d v="2024-02-29T00:00:00"/>
    <x v="0"/>
    <s v="PK-010"/>
    <n v="21"/>
    <s v="SO45130"/>
    <x v="0"/>
    <s v="Polica za knjige"/>
    <s v="Anić Antonina"/>
    <s v="Moderni Dom"/>
    <s v="Srbija"/>
    <m/>
  </r>
  <r>
    <n v="152"/>
    <d v="2024-02-20T00:00:00"/>
    <x v="4"/>
    <s v="KO-014"/>
    <n v="28"/>
    <s v="SO45134"/>
    <x v="2"/>
    <s v="Kuhinjsko ostrvo"/>
    <s v="Nenadović Novak"/>
    <s v="Prostor za Uživanje"/>
    <s v="Srbija"/>
    <m/>
  </r>
  <r>
    <n v="163"/>
    <d v="2024-03-28T00:00:00"/>
    <x v="1"/>
    <s v="VP-013"/>
    <n v="11"/>
    <s v="SO45138"/>
    <x v="2"/>
    <s v="Viseća polica"/>
    <s v="Jovanović Jelica"/>
    <s v="Sofistikacija Doma"/>
    <s v="Šumadija"/>
    <m/>
  </r>
  <r>
    <n v="152"/>
    <d v="2024-01-23T00:00:00"/>
    <x v="4"/>
    <s v="PK-010"/>
    <n v="21"/>
    <s v="SO45132"/>
    <x v="0"/>
    <s v="Polica za knjige"/>
    <s v="Nenadović Novak"/>
    <s v="Prostor za Uživanje"/>
    <s v="Srbija"/>
    <m/>
  </r>
  <r>
    <n v="195"/>
    <d v="2024-03-26T00:00:00"/>
    <x v="0"/>
    <s v="PK-010"/>
    <n v="16"/>
    <s v="SO45137"/>
    <x v="0"/>
    <s v="Polica za knjige"/>
    <s v="Anić Antonina"/>
    <s v="Moderni Dom"/>
    <s v="Srbija"/>
    <m/>
  </r>
  <r>
    <n v="157"/>
    <d v="2024-02-09T00:00:00"/>
    <x v="2"/>
    <s v="TA-012"/>
    <n v="16"/>
    <s v="SO45133"/>
    <x v="0"/>
    <s v="Tabure"/>
    <s v="Ognjanović Jovan"/>
    <s v="Stilski Stan"/>
    <s v="Vojvodina i Beograd"/>
    <m/>
  </r>
  <r>
    <n v="127"/>
    <d v="2024-02-01T00:00:00"/>
    <x v="4"/>
    <s v="OZ-011"/>
    <n v="19"/>
    <s v="SO45131"/>
    <x v="0"/>
    <s v="Ogledalo za zid"/>
    <s v="Nenadović Novak"/>
    <s v="Luksuzni Dizajn"/>
    <s v="Vojvodina"/>
    <m/>
  </r>
  <r>
    <n v="108"/>
    <d v="2024-02-28T00:00:00"/>
    <x v="0"/>
    <s v="RS-009"/>
    <n v="40"/>
    <s v="SO45135"/>
    <x v="1"/>
    <s v="Radni sto"/>
    <s v="Anić Antonina"/>
    <s v="Dom &amp; Dekor"/>
    <s v="Beogradski region"/>
    <m/>
  </r>
  <r>
    <n v="127"/>
    <d v="2024-03-07T00:00:00"/>
    <x v="4"/>
    <s v="NO-007"/>
    <n v="20"/>
    <s v="MO45141"/>
    <x v="3"/>
    <s v="Noćni ormarić"/>
    <s v="Nenadović Novak"/>
    <s v="Luksuzni Dizajn"/>
    <s v="Vojvodina"/>
    <m/>
  </r>
  <r>
    <n v="152"/>
    <d v="2024-02-05T00:00:00"/>
    <x v="4"/>
    <s v="SR-006"/>
    <n v="47"/>
    <s v="SO45143"/>
    <x v="4"/>
    <s v="Stolica za ručavanje"/>
    <s v="Nenadović Novak"/>
    <s v="Prostor za Uživanje"/>
    <s v="Srbija"/>
    <m/>
  </r>
  <r>
    <n v="163"/>
    <d v="2024-01-13T00:00:00"/>
    <x v="1"/>
    <s v="RS-009"/>
    <n v="10"/>
    <s v="SO45142"/>
    <x v="1"/>
    <s v="Radni sto"/>
    <s v="Jovanović Jelica"/>
    <s v="Sofistikacija Doma"/>
    <s v="Šumadija"/>
    <m/>
  </r>
  <r>
    <n v="108"/>
    <d v="2024-03-27T00:00:00"/>
    <x v="0"/>
    <s v="RF-003"/>
    <n v="35"/>
    <s v="SO45145"/>
    <x v="0"/>
    <s v="Rasklopiva fotelja"/>
    <s v="Anić Antonina"/>
    <s v="Dom &amp; Dekor"/>
    <s v="Beogradski region"/>
    <m/>
  </r>
  <r>
    <n v="152"/>
    <d v="2024-02-13T00:00:00"/>
    <x v="4"/>
    <s v="TS-002"/>
    <n v="49"/>
    <s v="SO45144"/>
    <x v="4"/>
    <s v="Trpezarijski sto"/>
    <s v="Nenadović Novak"/>
    <s v="Prostor za Uživanje"/>
    <s v="Srbija"/>
    <m/>
  </r>
  <r>
    <n v="127"/>
    <d v="2024-03-11T00:00:00"/>
    <x v="4"/>
    <s v="SF-005"/>
    <n v="14"/>
    <s v="SO45140"/>
    <x v="0"/>
    <s v="Sofa"/>
    <s v="Nenadović Novak"/>
    <s v="Luksuzni Dizajn"/>
    <s v="Vojvodina"/>
    <m/>
  </r>
  <r>
    <n v="163"/>
    <d v="2024-03-23T00:00:00"/>
    <x v="1"/>
    <s v="SF-005"/>
    <n v="21"/>
    <s v="SO45139"/>
    <x v="0"/>
    <s v="Sofa"/>
    <s v="Jovanović Jelica"/>
    <s v="Sofistikacija Doma"/>
    <s v="Šumadija"/>
    <m/>
  </r>
  <r>
    <n v="195"/>
    <d v="2024-02-13T00:00:00"/>
    <x v="0"/>
    <s v="TS-002"/>
    <n v="13"/>
    <s v="MO45148"/>
    <x v="4"/>
    <s v="Trpezarijski sto"/>
    <s v="Anić Antonina"/>
    <s v="Moderni Dom"/>
    <s v="Srbija"/>
    <m/>
  </r>
  <r>
    <n v="153"/>
    <d v="2024-03-07T00:00:00"/>
    <x v="2"/>
    <s v="KS-001"/>
    <n v="10"/>
    <s v="SO45147"/>
    <x v="0"/>
    <s v="Klub sto"/>
    <s v="Ognjanović Jovan"/>
    <s v="Udobni Kutak"/>
    <s v="Južni region"/>
    <m/>
  </r>
  <r>
    <n v="163"/>
    <d v="2024-03-02T00:00:00"/>
    <x v="1"/>
    <s v="NO-007"/>
    <n v="14"/>
    <s v="MO45146"/>
    <x v="3"/>
    <s v="Noćni ormarić"/>
    <s v="Jovanović Jelica"/>
    <s v="Sofistikacija Doma"/>
    <s v="Šumadija"/>
    <m/>
  </r>
  <r>
    <n v="127"/>
    <d v="2024-03-15T00:00:00"/>
    <x v="4"/>
    <s v="RF-003"/>
    <n v="1"/>
    <s v="SO45149"/>
    <x v="0"/>
    <s v="Rasklopiva fotelja"/>
    <s v="Nenadović Novak"/>
    <s v="Luksuzni Dizajn"/>
    <s v="Vojvodina"/>
    <m/>
  </r>
  <r>
    <n v="179"/>
    <d v="2024-03-18T00:00:00"/>
    <x v="3"/>
    <s v="OT-004"/>
    <n v="35"/>
    <s v="SO45154"/>
    <x v="0"/>
    <s v="Ormarić za TV"/>
    <s v="Vučković Sanja"/>
    <s v="Elegantni Enterijeri"/>
    <s v="Južni i Šumadijski region"/>
    <m/>
  </r>
  <r>
    <n v="108"/>
    <d v="2024-01-22T00:00:00"/>
    <x v="0"/>
    <s v="SF-005"/>
    <n v="7"/>
    <s v="MO45151"/>
    <x v="0"/>
    <s v="Sofa"/>
    <s v="Anić Antonina"/>
    <s v="Dom &amp; Dekor"/>
    <s v="Beogradski region"/>
    <m/>
  </r>
  <r>
    <n v="157"/>
    <d v="2024-01-02T00:00:00"/>
    <x v="2"/>
    <s v="TS-002"/>
    <n v="29"/>
    <s v="SO45150"/>
    <x v="4"/>
    <s v="Trpezarijski sto"/>
    <s v="Ognjanović Jovan"/>
    <s v="Stilski Stan"/>
    <s v="Vojvodina i Beograd"/>
    <m/>
  </r>
  <r>
    <n v="151"/>
    <d v="2024-02-02T00:00:00"/>
    <x v="1"/>
    <s v="KO-014"/>
    <n v="46"/>
    <s v="SO45157"/>
    <x v="2"/>
    <s v="Kuhinjsko ostrvo"/>
    <s v="Jovanović Jelica"/>
    <s v="Estetski Kutak"/>
    <s v="Srbija"/>
    <m/>
  </r>
  <r>
    <n v="157"/>
    <d v="2024-01-15T00:00:00"/>
    <x v="2"/>
    <s v="SR-006"/>
    <n v="28"/>
    <s v="SO45156"/>
    <x v="4"/>
    <s v="Stolica za ručavanje"/>
    <s v="Ognjanović Jovan"/>
    <s v="Stilski Stan"/>
    <s v="Vojvodina i Beograd"/>
    <m/>
  </r>
  <r>
    <n v="186"/>
    <d v="2024-01-25T00:00:00"/>
    <x v="3"/>
    <s v="NO-007"/>
    <n v="35"/>
    <s v="SO45155"/>
    <x v="3"/>
    <s v="Noćni ormarić"/>
    <s v="Vučković Sanja"/>
    <s v="Kuća- Uređenje i Dizajn"/>
    <s v="Beogradski region"/>
    <m/>
  </r>
  <r>
    <n v="186"/>
    <d v="2024-03-22T00:00:00"/>
    <x v="0"/>
    <s v="VP-013"/>
    <n v="31"/>
    <s v="SO45153"/>
    <x v="2"/>
    <s v="Viseća polica"/>
    <s v="Anić Antonina"/>
    <s v="Kuća- Uređenje i Dizajn"/>
    <s v="Beogradski region"/>
    <m/>
  </r>
  <r>
    <n v="152"/>
    <d v="2024-03-24T00:00:00"/>
    <x v="4"/>
    <s v="PK-010"/>
    <n v="24"/>
    <s v="SO45152"/>
    <x v="0"/>
    <s v="Polica za knjige"/>
    <s v="Nenadović Novak"/>
    <s v="Prostor za Uživanje"/>
    <s v="Srbija"/>
    <m/>
  </r>
  <r>
    <n v="195"/>
    <d v="2024-01-01T00:00:00"/>
    <x v="0"/>
    <s v="KO-014"/>
    <n v="45"/>
    <s v="SO45162"/>
    <x v="2"/>
    <s v="Kuhinjsko ostrvo"/>
    <s v="Anić Antonina"/>
    <s v="Moderni Dom"/>
    <s v="Srbija"/>
    <m/>
  </r>
  <r>
    <n v="195"/>
    <d v="2024-02-08T00:00:00"/>
    <x v="0"/>
    <s v="KO-014"/>
    <n v="46"/>
    <s v="SO45158"/>
    <x v="2"/>
    <s v="Kuhinjsko ostrvo"/>
    <s v="Anić Antonina"/>
    <s v="Moderni Dom"/>
    <s v="Srbija"/>
    <m/>
  </r>
  <r>
    <n v="186"/>
    <d v="2024-02-10T00:00:00"/>
    <x v="3"/>
    <s v="KS-001"/>
    <n v="12"/>
    <s v="SO45163"/>
    <x v="0"/>
    <s v="Klub sto"/>
    <s v="Vučković Sanja"/>
    <s v="Kuća- Uređenje i Dizajn"/>
    <s v="Beogradski region"/>
    <m/>
  </r>
  <r>
    <n v="108"/>
    <d v="2024-02-20T00:00:00"/>
    <x v="0"/>
    <s v="RF-003"/>
    <n v="9"/>
    <s v="SO45159"/>
    <x v="0"/>
    <s v="Rasklopiva fotelja"/>
    <s v="Anić Antonina"/>
    <s v="Dom &amp; Dekor"/>
    <s v="Beogradski region"/>
    <m/>
  </r>
  <r>
    <n v="157"/>
    <d v="2024-02-07T00:00:00"/>
    <x v="2"/>
    <s v="KO-014"/>
    <n v="39"/>
    <s v="SO45161"/>
    <x v="2"/>
    <s v="Kuhinjsko ostrvo"/>
    <s v="Ognjanović Jovan"/>
    <s v="Stilski Stan"/>
    <s v="Vojvodina i Beograd"/>
    <m/>
  </r>
  <r>
    <n v="151"/>
    <d v="2024-03-05T00:00:00"/>
    <x v="1"/>
    <s v="KO-008"/>
    <n v="47"/>
    <s v="SO45160"/>
    <x v="0"/>
    <s v="Komoda"/>
    <s v="Jovanović Jelica"/>
    <s v="Estetski Kutak"/>
    <s v="Srbija"/>
    <m/>
  </r>
  <r>
    <n v="186"/>
    <d v="2024-01-22T00:00:00"/>
    <x v="3"/>
    <s v="SF-005"/>
    <n v="28"/>
    <s v="SO45164"/>
    <x v="0"/>
    <s v="Sofa"/>
    <s v="Vučković Sanja"/>
    <s v="Kuća- Uređenje i Dizajn"/>
    <s v="Beogradski region"/>
    <m/>
  </r>
  <r>
    <n v="151"/>
    <d v="2024-01-03T00:00:00"/>
    <x v="1"/>
    <s v="TS-002"/>
    <n v="9"/>
    <s v="SO45167"/>
    <x v="4"/>
    <s v="Trpezarijski sto"/>
    <s v="Jovanović Jelica"/>
    <s v="Estetski Kutak"/>
    <s v="Srbija"/>
    <m/>
  </r>
  <r>
    <n v="127"/>
    <d v="2024-03-28T00:00:00"/>
    <x v="0"/>
    <s v="NO-007"/>
    <n v="22"/>
    <s v="SO45169"/>
    <x v="3"/>
    <s v="Noćni ormarić"/>
    <s v="Anić Antonina"/>
    <s v="Luksuzni Dizajn"/>
    <s v="Vojvodina"/>
    <m/>
  </r>
  <r>
    <n v="179"/>
    <d v="2024-01-04T00:00:00"/>
    <x v="3"/>
    <s v="TS-002"/>
    <n v="14"/>
    <s v="SO45171"/>
    <x v="4"/>
    <s v="Trpezarijski sto"/>
    <s v="Vučković Sanja"/>
    <s v="Elegantni Enterijeri"/>
    <s v="Južni i Šumadijski region"/>
    <m/>
  </r>
  <r>
    <n v="163"/>
    <d v="2024-01-15T00:00:00"/>
    <x v="1"/>
    <s v="SF-005"/>
    <n v="47"/>
    <s v="SO45170"/>
    <x v="0"/>
    <s v="Sofa"/>
    <s v="Jovanović Jelica"/>
    <s v="Sofistikacija Doma"/>
    <s v="Šumadija"/>
    <m/>
  </r>
  <r>
    <n v="153"/>
    <d v="2024-03-14T00:00:00"/>
    <x v="2"/>
    <s v="RF-003"/>
    <n v="49"/>
    <s v="SO45166"/>
    <x v="0"/>
    <s v="Rasklopiva fotelja"/>
    <s v="Ognjanović Jovan"/>
    <s v="Udobni Kutak"/>
    <s v="Južni region"/>
    <m/>
  </r>
  <r>
    <n v="186"/>
    <d v="2024-02-20T00:00:00"/>
    <x v="3"/>
    <s v="OZ-011"/>
    <n v="39"/>
    <s v="MO45168"/>
    <x v="0"/>
    <s v="Ogledalo za zid"/>
    <s v="Vučković Sanja"/>
    <s v="Kuća- Uređenje i Dizajn"/>
    <s v="Beogradski region"/>
    <m/>
  </r>
  <r>
    <n v="108"/>
    <d v="2024-02-10T00:00:00"/>
    <x v="0"/>
    <s v="KS-001"/>
    <n v="41"/>
    <s v="SO45165"/>
    <x v="0"/>
    <s v="Klub sto"/>
    <s v="Anić Antonina"/>
    <s v="Dom &amp; Dekor"/>
    <s v="Beogradski region"/>
    <m/>
  </r>
  <r>
    <n v="186"/>
    <d v="2024-02-02T00:00:00"/>
    <x v="3"/>
    <s v="RF-003"/>
    <n v="50"/>
    <s v="SO45172"/>
    <x v="0"/>
    <s v="Rasklopiva fotelja"/>
    <s v="Vučković Sanja"/>
    <s v="Kuća- Uređenje i Dizajn"/>
    <s v="Beogradski region"/>
    <m/>
  </r>
  <r>
    <n v="179"/>
    <d v="2024-01-20T00:00:00"/>
    <x v="3"/>
    <s v="OT-004"/>
    <n v="33"/>
    <s v="SO45176"/>
    <x v="0"/>
    <s v="Ormarić za TV"/>
    <s v="Vučković Sanja"/>
    <s v="Elegantni Enterijeri"/>
    <s v="Južni i Šumadijski region"/>
    <m/>
  </r>
  <r>
    <n v="186"/>
    <d v="2024-02-24T00:00:00"/>
    <x v="3"/>
    <s v="VP-013"/>
    <n v="46"/>
    <s v="SO45174"/>
    <x v="2"/>
    <s v="Viseća polica"/>
    <s v="Vučković Sanja"/>
    <s v="Kuća- Uređenje i Dizajn"/>
    <s v="Beogradski region"/>
    <m/>
  </r>
  <r>
    <n v="152"/>
    <d v="2024-02-04T00:00:00"/>
    <x v="4"/>
    <s v="OT-004"/>
    <n v="24"/>
    <s v="SO45179"/>
    <x v="0"/>
    <s v="Ormarić za TV"/>
    <s v="Nenadović Novak"/>
    <s v="Prostor za Uživanje"/>
    <s v="Srbija"/>
    <m/>
  </r>
  <r>
    <n v="195"/>
    <d v="2024-01-07T00:00:00"/>
    <x v="0"/>
    <s v="SR-006"/>
    <n v="17"/>
    <s v="SO45178"/>
    <x v="4"/>
    <s v="Stolica za ručavanje"/>
    <s v="Anić Antonina"/>
    <s v="Moderni Dom"/>
    <s v="Srbija"/>
    <m/>
  </r>
  <r>
    <n v="157"/>
    <d v="2024-02-01T00:00:00"/>
    <x v="2"/>
    <s v="OT-004"/>
    <n v="30"/>
    <s v="SO45177"/>
    <x v="0"/>
    <s v="Ormarić za TV"/>
    <s v="Ognjanović Jovan"/>
    <s v="Stilski Stan"/>
    <s v="Vojvodina i Beograd"/>
    <m/>
  </r>
  <r>
    <n v="151"/>
    <d v="2024-01-08T00:00:00"/>
    <x v="1"/>
    <s v="SR-006"/>
    <n v="23"/>
    <s v="MO45173"/>
    <x v="4"/>
    <s v="Stolica za ručavanje"/>
    <s v="Jovanović Jelica"/>
    <s v="Estetski Kutak"/>
    <s v="Srbija"/>
    <m/>
  </r>
  <r>
    <n v="153"/>
    <d v="2024-01-08T00:00:00"/>
    <x v="2"/>
    <s v="SF-005"/>
    <n v="31"/>
    <s v="MO45175"/>
    <x v="0"/>
    <s v="Sofa"/>
    <s v="Ognjanović Jovan"/>
    <s v="Udobni Kutak"/>
    <s v="Južni region"/>
    <m/>
  </r>
  <r>
    <n v="152"/>
    <d v="2024-02-14T00:00:00"/>
    <x v="4"/>
    <s v="TS-002"/>
    <n v="48"/>
    <s v="SO45180"/>
    <x v="4"/>
    <s v="Trpezarijski sto"/>
    <s v="Nenadović Novak"/>
    <s v="Prostor za Uživanje"/>
    <s v="Srbija"/>
    <m/>
  </r>
  <r>
    <n v="152"/>
    <d v="2024-01-31T00:00:00"/>
    <x v="4"/>
    <s v="OT-004"/>
    <n v="24"/>
    <s v="SO45184"/>
    <x v="0"/>
    <s v="Ormarić za TV"/>
    <s v="Nenadović Novak"/>
    <s v="Prostor za Uživanje"/>
    <s v="Srbija"/>
    <m/>
  </r>
  <r>
    <n v="153"/>
    <d v="2024-03-01T00:00:00"/>
    <x v="2"/>
    <s v="NO-007"/>
    <n v="17"/>
    <s v="SO45183"/>
    <x v="3"/>
    <s v="Noćni ormarić"/>
    <s v="Ognjanović Jovan"/>
    <s v="Udobni Kutak"/>
    <s v="Južni region"/>
    <m/>
  </r>
  <r>
    <n v="152"/>
    <d v="2024-02-02T00:00:00"/>
    <x v="4"/>
    <s v="KO-014"/>
    <n v="2"/>
    <s v="MO45181"/>
    <x v="2"/>
    <s v="Kuhinjsko ostrvo"/>
    <s v="Nenadović Novak"/>
    <s v="Prostor za Uživanje"/>
    <s v="Srbija"/>
    <m/>
  </r>
  <r>
    <n v="127"/>
    <d v="2024-03-08T00:00:00"/>
    <x v="4"/>
    <s v="RF-003"/>
    <n v="24"/>
    <s v="SO45185"/>
    <x v="0"/>
    <s v="Rasklopiva fotelja"/>
    <s v="Nenadović Novak"/>
    <s v="Luksuzni Dizajn"/>
    <s v="Vojvodina"/>
    <m/>
  </r>
  <r>
    <n v="127"/>
    <d v="2024-03-16T00:00:00"/>
    <x v="4"/>
    <s v="KS-001"/>
    <n v="22"/>
    <s v="SO45182"/>
    <x v="0"/>
    <s v="Klub sto"/>
    <s v="Nenadović Novak"/>
    <s v="Luksuzni Dizajn"/>
    <s v="Vojvodina"/>
    <m/>
  </r>
  <r>
    <n v="186"/>
    <d v="2024-03-10T00:00:00"/>
    <x v="3"/>
    <s v="VP-013"/>
    <n v="20"/>
    <s v="SO45186"/>
    <x v="2"/>
    <s v="Viseća polica"/>
    <s v="Vučković Sanja"/>
    <s v="Kuća- Uređenje i Dizajn"/>
    <s v="Beogradski region"/>
    <m/>
  </r>
  <r>
    <n v="151"/>
    <d v="2024-01-08T00:00:00"/>
    <x v="1"/>
    <s v="TS-002"/>
    <n v="32"/>
    <s v="SO45191"/>
    <x v="4"/>
    <s v="Trpezarijski sto"/>
    <s v="Jovanović Jelica"/>
    <s v="Estetski Kutak"/>
    <s v="Srbija"/>
    <m/>
  </r>
  <r>
    <n v="152"/>
    <d v="2024-02-13T00:00:00"/>
    <x v="4"/>
    <s v="KO-014"/>
    <n v="35"/>
    <s v="SO45187"/>
    <x v="2"/>
    <s v="Kuhinjsko ostrvo"/>
    <s v="Nenadović Novak"/>
    <s v="Prostor za Uživanje"/>
    <s v="Srbija"/>
    <m/>
  </r>
  <r>
    <n v="195"/>
    <d v="2024-03-28T00:00:00"/>
    <x v="0"/>
    <s v="TS-002"/>
    <n v="21"/>
    <s v="SO45188"/>
    <x v="4"/>
    <s v="Trpezarijski sto"/>
    <s v="Anić Antonina"/>
    <s v="Moderni Dom"/>
    <s v="Srbija"/>
    <m/>
  </r>
  <r>
    <n v="151"/>
    <d v="2024-03-16T00:00:00"/>
    <x v="1"/>
    <s v="TA-012"/>
    <n v="8"/>
    <s v="SO45190"/>
    <x v="0"/>
    <s v="Tabure"/>
    <s v="Jovanović Jelica"/>
    <s v="Estetski Kutak"/>
    <s v="Srbija"/>
    <m/>
  </r>
  <r>
    <n v="153"/>
    <d v="2024-02-10T00:00:00"/>
    <x v="2"/>
    <s v="VP-013"/>
    <n v="49"/>
    <s v="SO45189"/>
    <x v="2"/>
    <s v="Viseća polica"/>
    <s v="Ognjanović Jovan"/>
    <s v="Udobni Kutak"/>
    <s v="Južni region"/>
    <m/>
  </r>
  <r>
    <n v="179"/>
    <d v="2024-03-02T00:00:00"/>
    <x v="3"/>
    <s v="SR-006"/>
    <n v="41"/>
    <s v="MO45196"/>
    <x v="4"/>
    <s v="Stolica za ručavanje"/>
    <s v="Vučković Sanja"/>
    <s v="Elegantni Enterijeri"/>
    <s v="Južni i Šumadijski region"/>
    <m/>
  </r>
  <r>
    <n v="127"/>
    <d v="2024-02-08T00:00:00"/>
    <x v="4"/>
    <s v="RF-003"/>
    <n v="46"/>
    <s v="SO45195"/>
    <x v="0"/>
    <s v="Rasklopiva fotelja"/>
    <s v="Nenadović Novak"/>
    <s v="Luksuzni Dizajn"/>
    <s v="Vojvodina"/>
    <m/>
  </r>
  <r>
    <n v="108"/>
    <d v="2024-03-03T00:00:00"/>
    <x v="0"/>
    <s v="KS-001"/>
    <n v="49"/>
    <s v="SO45193"/>
    <x v="0"/>
    <s v="Klub sto"/>
    <s v="Anić Antonina"/>
    <s v="Dom &amp; Dekor"/>
    <s v="Beogradski region"/>
    <m/>
  </r>
  <r>
    <n v="152"/>
    <d v="2024-01-09T00:00:00"/>
    <x v="4"/>
    <s v="PK-010"/>
    <n v="22"/>
    <s v="SO45194"/>
    <x v="0"/>
    <s v="Polica za knjige"/>
    <s v="Nenadović Novak"/>
    <s v="Prostor za Uživanje"/>
    <s v="Srbija"/>
    <m/>
  </r>
  <r>
    <n v="108"/>
    <d v="2024-02-02T00:00:00"/>
    <x v="0"/>
    <s v="NO-007"/>
    <n v="7"/>
    <s v="SO45192"/>
    <x v="3"/>
    <s v="Noćni ormarić"/>
    <s v="Anić Antonina"/>
    <s v="Dom &amp; Dekor"/>
    <s v="Beogradski region"/>
    <m/>
  </r>
  <r>
    <n v="151"/>
    <d v="2024-02-16T00:00:00"/>
    <x v="1"/>
    <s v="KO-014"/>
    <n v="22"/>
    <s v="SO45197"/>
    <x v="2"/>
    <s v="Kuhinjsko ostrvo"/>
    <s v="Jovanović Jelica"/>
    <s v="Estetski Kutak"/>
    <s v="Srbija"/>
    <m/>
  </r>
  <r>
    <n v="163"/>
    <d v="2024-03-23T00:00:00"/>
    <x v="1"/>
    <s v="VP-013"/>
    <n v="4"/>
    <s v="SO45201"/>
    <x v="2"/>
    <s v="Viseća polica"/>
    <s v="Jovanović Jelica"/>
    <s v="Sofistikacija Doma"/>
    <s v="Šumadija"/>
    <m/>
  </r>
  <r>
    <n v="152"/>
    <d v="2024-02-06T00:00:00"/>
    <x v="4"/>
    <s v="KO-008"/>
    <n v="34"/>
    <s v="SO45199"/>
    <x v="0"/>
    <s v="Komoda"/>
    <s v="Nenadović Novak"/>
    <s v="Prostor za Uživanje"/>
    <s v="Srbija"/>
    <m/>
  </r>
  <r>
    <n v="179"/>
    <d v="2024-03-02T00:00:00"/>
    <x v="3"/>
    <s v="KO-014"/>
    <n v="16"/>
    <s v="SO45200"/>
    <x v="2"/>
    <s v="Kuhinjsko ostrvo"/>
    <s v="Vučković Sanja"/>
    <s v="Elegantni Enterijeri"/>
    <s v="Južni i Šumadijski region"/>
    <m/>
  </r>
  <r>
    <n v="195"/>
    <d v="2024-03-01T00:00:00"/>
    <x v="0"/>
    <s v="KO-008"/>
    <n v="22"/>
    <s v="SO45204"/>
    <x v="0"/>
    <s v="Komoda"/>
    <s v="Anić Antonina"/>
    <s v="Moderni Dom"/>
    <s v="Srbija"/>
    <m/>
  </r>
  <r>
    <n v="152"/>
    <d v="2024-02-12T00:00:00"/>
    <x v="4"/>
    <s v="PK-010"/>
    <n v="37"/>
    <s v="SO45203"/>
    <x v="0"/>
    <s v="Polica za knjige"/>
    <s v="Nenadović Novak"/>
    <s v="Prostor za Uživanje"/>
    <s v="Srbija"/>
    <m/>
  </r>
  <r>
    <n v="195"/>
    <d v="2024-01-30T00:00:00"/>
    <x v="2"/>
    <s v="KO-008"/>
    <n v="26"/>
    <s v="MO45202"/>
    <x v="0"/>
    <s v="Komoda"/>
    <s v="Ognjanović Jovan"/>
    <s v="Moderni Dom"/>
    <s v="Srbija"/>
    <m/>
  </r>
  <r>
    <n v="163"/>
    <d v="2024-03-09T00:00:00"/>
    <x v="1"/>
    <s v="KS-001"/>
    <n v="45"/>
    <s v="SO45198"/>
    <x v="0"/>
    <s v="Klub sto"/>
    <s v="Jovanović Jelica"/>
    <s v="Sofistikacija Doma"/>
    <s v="Šumadija"/>
    <m/>
  </r>
  <r>
    <n v="152"/>
    <d v="2024-02-18T00:00:00"/>
    <x v="4"/>
    <s v="TA-012"/>
    <n v="42"/>
    <s v="MO45213"/>
    <x v="0"/>
    <s v="Tabure"/>
    <s v="Nenadović Novak"/>
    <s v="Prostor za Uživanje"/>
    <s v="Srbija"/>
    <m/>
  </r>
  <r>
    <n v="127"/>
    <d v="2024-02-10T00:00:00"/>
    <x v="4"/>
    <s v="KS-001"/>
    <n v="38"/>
    <s v="SO45207"/>
    <x v="0"/>
    <s v="Klub sto"/>
    <s v="Nenadović Novak"/>
    <s v="Luksuzni Dizajn"/>
    <s v="Vojvodina"/>
    <m/>
  </r>
  <r>
    <n v="186"/>
    <d v="2024-02-12T00:00:00"/>
    <x v="3"/>
    <s v="SF-005"/>
    <n v="7"/>
    <s v="MO45211"/>
    <x v="0"/>
    <s v="Sofa"/>
    <s v="Vučković Sanja"/>
    <s v="Kuća- Uređenje i Dizajn"/>
    <s v="Beogradski region"/>
    <m/>
  </r>
  <r>
    <n v="152"/>
    <d v="2024-03-22T00:00:00"/>
    <x v="4"/>
    <s v="TS-002"/>
    <n v="32"/>
    <s v="SO45212"/>
    <x v="4"/>
    <s v="Trpezarijski sto"/>
    <s v="Nenadović Novak"/>
    <s v="Prostor za Uživanje"/>
    <s v="Srbija"/>
    <m/>
  </r>
  <r>
    <n v="157"/>
    <d v="2024-01-14T00:00:00"/>
    <x v="2"/>
    <s v="PK-010"/>
    <n v="8"/>
    <s v="SO45208"/>
    <x v="0"/>
    <s v="Polica za knjige"/>
    <s v="Ognjanović Jovan"/>
    <s v="Stilski Stan"/>
    <s v="Vojvodina i Beograd"/>
    <m/>
  </r>
  <r>
    <n v="108"/>
    <d v="2024-01-27T00:00:00"/>
    <x v="0"/>
    <s v="RS-009"/>
    <n v="12"/>
    <s v="SO45209"/>
    <x v="1"/>
    <s v="Radni sto"/>
    <s v="Anić Antonina"/>
    <s v="Dom &amp; Dekor"/>
    <s v="Beogradski region"/>
    <m/>
  </r>
  <r>
    <n v="153"/>
    <d v="2024-01-17T00:00:00"/>
    <x v="3"/>
    <s v="OZ-011"/>
    <n v="7"/>
    <s v="SO45210"/>
    <x v="0"/>
    <s v="Ogledalo za zid"/>
    <s v="Vučković Sanja"/>
    <s v="Udobni Kutak"/>
    <s v="Južni region"/>
    <m/>
  </r>
  <r>
    <n v="195"/>
    <d v="2024-03-11T00:00:00"/>
    <x v="0"/>
    <s v="SR-006"/>
    <n v="25"/>
    <s v="MO45206"/>
    <x v="4"/>
    <s v="Stolica za ručavanje"/>
    <s v="Anić Antonina"/>
    <s v="Moderni Dom"/>
    <s v="Srbija"/>
    <m/>
  </r>
  <r>
    <n v="153"/>
    <d v="2024-03-04T00:00:00"/>
    <x v="2"/>
    <s v="KS-001"/>
    <n v="43"/>
    <s v="SO45205"/>
    <x v="0"/>
    <s v="Klub sto"/>
    <s v="Ognjanović Jovan"/>
    <s v="Udobni Kutak"/>
    <s v="Južni region"/>
    <m/>
  </r>
  <r>
    <n v="153"/>
    <d v="2024-03-17T00:00:00"/>
    <x v="2"/>
    <s v="OZ-011"/>
    <n v="19"/>
    <s v="SO45215"/>
    <x v="0"/>
    <s v="Ogledalo za zid"/>
    <s v="Ognjanović Jovan"/>
    <s v="Udobni Kutak"/>
    <s v="Južni region"/>
    <m/>
  </r>
  <r>
    <n v="186"/>
    <d v="2024-03-22T00:00:00"/>
    <x v="3"/>
    <s v="KS-001"/>
    <n v="9"/>
    <s v="SO45214"/>
    <x v="0"/>
    <s v="Klub sto"/>
    <s v="Vučković Sanja"/>
    <s v="Kuća- Uređenje i Dizajn"/>
    <s v="Beogradski region"/>
    <m/>
  </r>
  <r>
    <n v="179"/>
    <d v="2024-01-14T00:00:00"/>
    <x v="3"/>
    <s v="PK-010"/>
    <n v="32"/>
    <s v="SO45216"/>
    <x v="0"/>
    <s v="Polica za knjige"/>
    <s v="Vučković Sanja"/>
    <s v="Elegantni Enterijeri"/>
    <s v="Južni i Šumadijski region"/>
    <m/>
  </r>
  <r>
    <n v="186"/>
    <d v="2024-01-22T00:00:00"/>
    <x v="3"/>
    <s v="NO-007"/>
    <n v="50"/>
    <s v="SO45217"/>
    <x v="3"/>
    <s v="Noćni ormarić"/>
    <s v="Vučković Sanja"/>
    <s v="Kuća- Uređenje i Dizajn"/>
    <s v="Beogradski region"/>
    <m/>
  </r>
  <r>
    <n v="179"/>
    <d v="2024-01-09T00:00:00"/>
    <x v="3"/>
    <s v="OT-004"/>
    <n v="13"/>
    <s v="SO45219"/>
    <x v="0"/>
    <s v="Ormarić za TV"/>
    <s v="Vučković Sanja"/>
    <s v="Elegantni Enterijeri"/>
    <s v="Južni i Šumadijski region"/>
    <m/>
  </r>
  <r>
    <n v="157"/>
    <d v="2024-01-04T00:00:00"/>
    <x v="2"/>
    <s v="TS-002"/>
    <n v="4"/>
    <s v="SO45222"/>
    <x v="4"/>
    <s v="Trpezarijski sto"/>
    <s v="Ognjanović Jovan"/>
    <s v="Stilski Stan"/>
    <s v="Vojvodina i Beograd"/>
    <m/>
  </r>
  <r>
    <n v="151"/>
    <d v="2024-01-04T00:00:00"/>
    <x v="1"/>
    <s v="TS-002"/>
    <n v="34"/>
    <s v="SO45221"/>
    <x v="4"/>
    <s v="Trpezarijski sto"/>
    <s v="Jovanović Jelica"/>
    <s v="Estetski Kutak"/>
    <s v="Srbija"/>
    <m/>
  </r>
  <r>
    <n v="163"/>
    <d v="2024-02-13T00:00:00"/>
    <x v="1"/>
    <s v="OZ-011"/>
    <n v="20"/>
    <s v="SO45220"/>
    <x v="0"/>
    <s v="Ogledalo za zid"/>
    <s v="Jovanović Jelica"/>
    <s v="Sofistikacija Doma"/>
    <s v="Šumadija"/>
    <m/>
  </r>
  <r>
    <n v="127"/>
    <d v="2024-02-17T00:00:00"/>
    <x v="4"/>
    <s v="VP-013"/>
    <n v="21"/>
    <s v="MO45223"/>
    <x v="2"/>
    <s v="Viseća polica"/>
    <s v="Nenadović Novak"/>
    <s v="Luksuzni Dizajn"/>
    <s v="Vojvodina"/>
    <m/>
  </r>
  <r>
    <n v="179"/>
    <d v="2024-01-08T00:00:00"/>
    <x v="3"/>
    <s v="KO-014"/>
    <n v="35"/>
    <s v="SO45224"/>
    <x v="2"/>
    <s v="Kuhinjsko ostrvo"/>
    <s v="Vučković Sanja"/>
    <s v="Elegantni Enterijeri"/>
    <s v="Južni i Šumadijski region"/>
    <m/>
  </r>
  <r>
    <n v="179"/>
    <d v="2024-03-10T00:00:00"/>
    <x v="3"/>
    <s v="KO-008"/>
    <n v="26"/>
    <s v="SO45218"/>
    <x v="0"/>
    <s v="Komoda"/>
    <s v="Vučković Sanja"/>
    <s v="Elegantni Enterijeri"/>
    <s v="Južni i Šumadijski region"/>
    <m/>
  </r>
  <r>
    <n v="151"/>
    <d v="2024-02-04T00:00:00"/>
    <x v="4"/>
    <s v="TA-012"/>
    <n v="11"/>
    <s v="SO45228"/>
    <x v="0"/>
    <s v="Tabure"/>
    <s v="Nenadović Novak"/>
    <s v="Estetski Kutak"/>
    <s v="Srbija"/>
    <m/>
  </r>
  <r>
    <n v="195"/>
    <d v="2024-02-01T00:00:00"/>
    <x v="2"/>
    <s v="VP-013"/>
    <n v="30"/>
    <s v="SO45226"/>
    <x v="2"/>
    <s v="Viseća polica"/>
    <s v="Ognjanović Jovan"/>
    <s v="Moderni Dom"/>
    <s v="Srbija"/>
    <m/>
  </r>
  <r>
    <n v="152"/>
    <d v="2024-03-14T00:00:00"/>
    <x v="4"/>
    <s v="TA-012"/>
    <n v="40"/>
    <s v="SO45225"/>
    <x v="0"/>
    <s v="Tabure"/>
    <s v="Nenadović Novak"/>
    <s v="Prostor za Uživanje"/>
    <s v="Srbija"/>
    <m/>
  </r>
  <r>
    <n v="127"/>
    <d v="2024-02-05T00:00:00"/>
    <x v="4"/>
    <s v="RF-003"/>
    <n v="14"/>
    <s v="SO45227"/>
    <x v="0"/>
    <s v="Rasklopiva fotelja"/>
    <s v="Nenadović Novak"/>
    <s v="Luksuzni Dizajn"/>
    <s v="Vojvodina"/>
    <m/>
  </r>
  <r>
    <n v="163"/>
    <d v="2024-03-09T00:00:00"/>
    <x v="1"/>
    <s v="RF-003"/>
    <n v="5"/>
    <s v="SO45232"/>
    <x v="0"/>
    <s v="Rasklopiva fotelja"/>
    <s v="Jovanović Jelica"/>
    <s v="Sofistikacija Doma"/>
    <s v="Šumadija"/>
    <m/>
  </r>
  <r>
    <n v="195"/>
    <d v="2024-03-08T00:00:00"/>
    <x v="0"/>
    <s v="OT-004"/>
    <n v="48"/>
    <s v="SO45233"/>
    <x v="0"/>
    <s v="Ormarić za TV"/>
    <s v="Anić Antonina"/>
    <s v="Moderni Dom"/>
    <s v="Srbija"/>
    <m/>
  </r>
  <r>
    <n v="186"/>
    <d v="2024-03-27T00:00:00"/>
    <x v="3"/>
    <s v="RF-003"/>
    <n v="19"/>
    <s v="SO45231"/>
    <x v="0"/>
    <s v="Rasklopiva fotelja"/>
    <s v="Vučković Sanja"/>
    <s v="Kuća- Uređenje i Dizajn"/>
    <s v="Beogradski region"/>
    <m/>
  </r>
  <r>
    <n v="127"/>
    <d v="2024-03-06T00:00:00"/>
    <x v="4"/>
    <s v="RS-009"/>
    <n v="35"/>
    <s v="SO45229"/>
    <x v="1"/>
    <s v="Radni sto"/>
    <s v="Nenadović Novak"/>
    <s v="Luksuzni Dizajn"/>
    <s v="Vojvodina"/>
    <m/>
  </r>
  <r>
    <n v="157"/>
    <d v="2024-01-23T00:00:00"/>
    <x v="2"/>
    <s v="KO-008"/>
    <n v="6"/>
    <s v="SO45236"/>
    <x v="0"/>
    <s v="Komoda"/>
    <s v="Ognjanović Jovan"/>
    <s v="Stilski Stan"/>
    <s v="Vojvodina i Beograd"/>
    <m/>
  </r>
  <r>
    <n v="195"/>
    <d v="2024-03-14T00:00:00"/>
    <x v="0"/>
    <s v="OT-004"/>
    <n v="39"/>
    <s v="SO45234"/>
    <x v="0"/>
    <s v="Ormarić za TV"/>
    <s v="Anić Antonina"/>
    <s v="Moderni Dom"/>
    <s v="Srbija"/>
    <m/>
  </r>
  <r>
    <n v="179"/>
    <d v="2024-03-02T00:00:00"/>
    <x v="3"/>
    <s v="TS-002"/>
    <n v="6"/>
    <s v="SO45235"/>
    <x v="4"/>
    <s v="Trpezarijski sto"/>
    <s v="Vučković Sanja"/>
    <s v="Elegantni Enterijeri"/>
    <s v="Južni i Šumadijski region"/>
    <m/>
  </r>
  <r>
    <n v="108"/>
    <d v="2024-02-05T00:00:00"/>
    <x v="0"/>
    <s v="RS-009"/>
    <n v="33"/>
    <s v="SO45237"/>
    <x v="1"/>
    <s v="Radni sto"/>
    <s v="Anić Antonina"/>
    <s v="Dom &amp; Dekor"/>
    <s v="Beogradski region"/>
    <m/>
  </r>
  <r>
    <n v="195"/>
    <d v="2024-03-15T00:00:00"/>
    <x v="0"/>
    <s v="SR-006"/>
    <n v="17"/>
    <s v="MO45238"/>
    <x v="4"/>
    <s v="Stolica za ručavanje"/>
    <s v="Anić Antonina"/>
    <s v="Moderni Dom"/>
    <s v="Srbija"/>
    <m/>
  </r>
  <r>
    <n v="179"/>
    <d v="2024-03-03T00:00:00"/>
    <x v="3"/>
    <s v="TS-002"/>
    <n v="9"/>
    <s v="SO45242"/>
    <x v="4"/>
    <s v="Trpezarijski sto"/>
    <s v="Vučković Sanja"/>
    <s v="Elegantni Enterijeri"/>
    <s v="Južni i Šumadijski region"/>
    <m/>
  </r>
  <r>
    <n v="153"/>
    <d v="2024-02-14T00:00:00"/>
    <x v="2"/>
    <s v="OZ-011"/>
    <n v="5"/>
    <s v="SO45240"/>
    <x v="0"/>
    <s v="Ogledalo za zid"/>
    <s v="Ognjanović Jovan"/>
    <s v="Udobni Kutak"/>
    <s v="Južni region"/>
    <m/>
  </r>
  <r>
    <n v="151"/>
    <d v="2024-01-24T00:00:00"/>
    <x v="1"/>
    <s v="OT-004"/>
    <n v="20"/>
    <s v="SO45241"/>
    <x v="0"/>
    <s v="Ormarić za TV"/>
    <s v="Jovanović Jelica"/>
    <s v="Estetski Kutak"/>
    <s v="Srbija"/>
    <m/>
  </r>
  <r>
    <n v="195"/>
    <d v="2024-02-13T00:00:00"/>
    <x v="0"/>
    <s v="KO-014"/>
    <n v="20"/>
    <s v="MO45244"/>
    <x v="2"/>
    <s v="Kuhinjsko ostrvo"/>
    <s v="Anić Antonina"/>
    <s v="Moderni Dom"/>
    <s v="Srbija"/>
    <m/>
  </r>
  <r>
    <n v="195"/>
    <d v="2024-01-07T00:00:00"/>
    <x v="0"/>
    <s v="KO-008"/>
    <n v="50"/>
    <s v="SO45243"/>
    <x v="0"/>
    <s v="Komoda"/>
    <s v="Anić Antonina"/>
    <s v="Moderni Dom"/>
    <s v="Srbija"/>
    <m/>
  </r>
  <r>
    <n v="152"/>
    <d v="2024-02-09T00:00:00"/>
    <x v="4"/>
    <s v="OT-004"/>
    <n v="34"/>
    <s v="SO45245"/>
    <x v="0"/>
    <s v="Ormarić za TV"/>
    <s v="Nenadović Novak"/>
    <s v="Prostor za Uživanje"/>
    <s v="Srbija"/>
    <m/>
  </r>
  <r>
    <n v="179"/>
    <d v="2024-01-27T00:00:00"/>
    <x v="3"/>
    <s v="TA-012"/>
    <n v="33"/>
    <s v="SO45246"/>
    <x v="0"/>
    <s v="Tabure"/>
    <s v="Vučković Sanja"/>
    <s v="Elegantni Enterijeri"/>
    <s v="Južni i Šumadijski region"/>
    <m/>
  </r>
  <r>
    <n v="157"/>
    <d v="2024-03-05T00:00:00"/>
    <x v="2"/>
    <s v="SR-006"/>
    <n v="5"/>
    <s v="SO45247"/>
    <x v="4"/>
    <s v="Stolica za ručavanje"/>
    <s v="Ognjanović Jovan"/>
    <s v="Stilski Stan"/>
    <s v="Vojvodina i Beograd"/>
    <m/>
  </r>
  <r>
    <n v="186"/>
    <d v="2024-01-12T00:00:00"/>
    <x v="3"/>
    <s v="KS-001"/>
    <n v="20"/>
    <s v="SO45248"/>
    <x v="0"/>
    <s v="Klub sto"/>
    <s v="Vučković Sanja"/>
    <s v="Kuća- Uređenje i Dizajn"/>
    <s v="Beogradski region"/>
    <m/>
  </r>
  <r>
    <n v="151"/>
    <d v="2024-01-22T00:00:00"/>
    <x v="1"/>
    <s v="PK-010"/>
    <n v="10"/>
    <s v="SO45254"/>
    <x v="0"/>
    <s v="Polica za knjige"/>
    <s v="Jovanović Jelica"/>
    <s v="Estetski Kutak"/>
    <s v="Srbija"/>
    <m/>
  </r>
  <r>
    <n v="179"/>
    <d v="2024-02-01T00:00:00"/>
    <x v="3"/>
    <s v="PK-010"/>
    <n v="50"/>
    <s v="SO45258"/>
    <x v="0"/>
    <s v="Polica za knjige"/>
    <s v="Vučković Sanja"/>
    <s v="Elegantni Enterijeri"/>
    <s v="Južni i Šumadijski region"/>
    <m/>
  </r>
  <r>
    <n v="186"/>
    <d v="2024-03-26T00:00:00"/>
    <x v="3"/>
    <s v="RF-003"/>
    <n v="10"/>
    <s v="SO45253"/>
    <x v="0"/>
    <s v="Rasklopiva fotelja"/>
    <s v="Vučković Sanja"/>
    <s v="Kuća- Uređenje i Dizajn"/>
    <s v="Beogradski region"/>
    <m/>
  </r>
  <r>
    <n v="152"/>
    <d v="2024-02-08T00:00:00"/>
    <x v="4"/>
    <s v="KO-008"/>
    <n v="3"/>
    <s v="SO45256"/>
    <x v="0"/>
    <s v="Komoda"/>
    <s v="Nenadović Novak"/>
    <s v="Prostor za Uživanje"/>
    <s v="Srbija"/>
    <m/>
  </r>
  <r>
    <n v="127"/>
    <d v="2024-01-21T00:00:00"/>
    <x v="4"/>
    <s v="OZ-011"/>
    <n v="25"/>
    <s v="SO45255"/>
    <x v="0"/>
    <s v="Ogledalo za zid"/>
    <s v="Nenadović Novak"/>
    <s v="Luksuzni Dizajn"/>
    <s v="Vojvodina"/>
    <m/>
  </r>
  <r>
    <n v="157"/>
    <d v="2024-01-05T00:00:00"/>
    <x v="2"/>
    <s v="KO-014"/>
    <n v="18"/>
    <s v="SO45250"/>
    <x v="2"/>
    <s v="Kuhinjsko ostrvo"/>
    <s v="Ognjanović Jovan"/>
    <s v="Stilski Stan"/>
    <s v="Vojvodina i Beograd"/>
    <m/>
  </r>
  <r>
    <n v="108"/>
    <d v="2024-01-26T00:00:00"/>
    <x v="0"/>
    <s v="OZ-011"/>
    <n v="24"/>
    <s v="SO45251"/>
    <x v="0"/>
    <s v="Ogledalo za zid"/>
    <s v="Anić Antonina"/>
    <s v="Dom &amp; Dekor"/>
    <s v="Beogradski region"/>
    <m/>
  </r>
  <r>
    <n v="186"/>
    <d v="2024-01-18T00:00:00"/>
    <x v="3"/>
    <s v="VP-013"/>
    <n v="37"/>
    <s v="SO45249"/>
    <x v="2"/>
    <s v="Viseća polica"/>
    <s v="Vučković Sanja"/>
    <s v="Kuća- Uređenje i Dizajn"/>
    <s v="Beogradski region"/>
    <m/>
  </r>
  <r>
    <n v="179"/>
    <d v="2024-01-13T00:00:00"/>
    <x v="3"/>
    <s v="KO-008"/>
    <n v="6"/>
    <s v="SO45257"/>
    <x v="0"/>
    <s v="Komoda"/>
    <s v="Vučković Sanja"/>
    <s v="Elegantni Enterijeri"/>
    <s v="Južni i Šumadijski region"/>
    <m/>
  </r>
  <r>
    <n v="127"/>
    <d v="2024-01-02T00:00:00"/>
    <x v="4"/>
    <s v="KS-001"/>
    <n v="24"/>
    <s v="SO45252"/>
    <x v="0"/>
    <s v="Klub sto"/>
    <s v="Nenadović Novak"/>
    <s v="Luksuzni Dizajn"/>
    <s v="Vojvodina"/>
    <m/>
  </r>
  <r>
    <n v="195"/>
    <d v="2024-02-19T00:00:00"/>
    <x v="1"/>
    <s v="PK-010"/>
    <n v="20"/>
    <s v="SO45262"/>
    <x v="0"/>
    <s v="Polica za knjige"/>
    <s v="Jovanović Jelica"/>
    <s v="Moderni Dom"/>
    <s v="Srbija"/>
    <m/>
  </r>
  <r>
    <n v="108"/>
    <d v="2024-03-12T00:00:00"/>
    <x v="0"/>
    <s v="KS-001"/>
    <n v="2"/>
    <s v="SO45259"/>
    <x v="0"/>
    <s v="Klub sto"/>
    <s v="Anić Antonina"/>
    <s v="Dom &amp; Dekor"/>
    <s v="Beogradski region"/>
    <m/>
  </r>
  <r>
    <n v="179"/>
    <d v="2024-02-12T00:00:00"/>
    <x v="3"/>
    <s v="OT-004"/>
    <n v="5"/>
    <s v="MO45264"/>
    <x v="0"/>
    <s v="Ormarić za TV"/>
    <s v="Vučković Sanja"/>
    <s v="Elegantni Enterijeri"/>
    <s v="Južni i Šumadijski region"/>
    <m/>
  </r>
  <r>
    <n v="195"/>
    <d v="2024-02-16T00:00:00"/>
    <x v="0"/>
    <s v="TA-012"/>
    <n v="45"/>
    <s v="SO45261"/>
    <x v="0"/>
    <s v="Tabure"/>
    <s v="Anić Antonina"/>
    <s v="Moderni Dom"/>
    <s v="Srbija"/>
    <m/>
  </r>
  <r>
    <n v="153"/>
    <d v="2024-02-21T00:00:00"/>
    <x v="2"/>
    <s v="SF-005"/>
    <n v="16"/>
    <s v="SO45263"/>
    <x v="0"/>
    <s v="Sofa"/>
    <s v="Ognjanović Jovan"/>
    <s v="Udobni Kutak"/>
    <s v="Južni region"/>
    <m/>
  </r>
  <r>
    <n v="127"/>
    <d v="2024-03-15T00:00:00"/>
    <x v="4"/>
    <s v="SF-005"/>
    <n v="37"/>
    <s v="SO45265"/>
    <x v="0"/>
    <s v="Sofa"/>
    <s v="Nenadović Novak"/>
    <s v="Luksuzni Dizajn"/>
    <s v="Vojvodina"/>
    <m/>
  </r>
  <r>
    <n v="186"/>
    <d v="2024-01-04T00:00:00"/>
    <x v="4"/>
    <s v="NO-007"/>
    <n v="2"/>
    <s v="SO45260"/>
    <x v="3"/>
    <s v="Noćni ormarić"/>
    <s v="Nenadović Novak"/>
    <s v="Kuća- Uređenje i Dizajn"/>
    <s v="Beogradski region"/>
    <m/>
  </r>
  <r>
    <n v="179"/>
    <d v="2024-01-12T00:00:00"/>
    <x v="3"/>
    <s v="OT-004"/>
    <n v="31"/>
    <s v="SO45345"/>
    <x v="0"/>
    <s v="Ormarić za TV"/>
    <s v="Vučković Sanja"/>
    <s v="Elegantni Enterijeri"/>
    <s v="Južni i Šumadijski region"/>
    <m/>
  </r>
  <r>
    <n v="151"/>
    <d v="2024-03-29T00:00:00"/>
    <x v="1"/>
    <s v="OT-004"/>
    <n v="14"/>
    <s v="SO45349"/>
    <x v="0"/>
    <s v="Ormarić za TV"/>
    <s v="Jovanović Jelica"/>
    <s v="Estetski Kutak"/>
    <s v="Srbija"/>
    <m/>
  </r>
  <r>
    <n v="127"/>
    <d v="2024-03-08T00:00:00"/>
    <x v="4"/>
    <s v="RS-009"/>
    <n v="5"/>
    <s v="SO45347"/>
    <x v="1"/>
    <s v="Radni sto"/>
    <s v="Nenadović Novak"/>
    <s v="Luksuzni Dizajn"/>
    <s v="Vojvodina"/>
    <m/>
  </r>
  <r>
    <n v="195"/>
    <d v="2024-03-21T00:00:00"/>
    <x v="0"/>
    <s v="TA-012"/>
    <n v="9"/>
    <s v="SO45348"/>
    <x v="0"/>
    <s v="Tabure"/>
    <s v="Anić Antonina"/>
    <s v="Moderni Dom"/>
    <s v="Srbija"/>
    <m/>
  </r>
  <r>
    <n v="186"/>
    <d v="2024-02-07T00:00:00"/>
    <x v="3"/>
    <s v="NO-007"/>
    <n v="32"/>
    <s v="SO45350"/>
    <x v="3"/>
    <s v="Noćni ormarić"/>
    <s v="Vučković Sanja"/>
    <s v="Kuća- Uređenje i Dizajn"/>
    <s v="Beogradski region"/>
    <m/>
  </r>
  <r>
    <n v="157"/>
    <d v="2024-01-13T00:00:00"/>
    <x v="2"/>
    <s v="SR-006"/>
    <n v="40"/>
    <s v="SO45354"/>
    <x v="4"/>
    <s v="Stolica za ručavanje"/>
    <s v="Ognjanović Jovan"/>
    <s v="Stilski Stan"/>
    <s v="Vojvodina i Beograd"/>
    <m/>
  </r>
  <r>
    <n v="163"/>
    <d v="2024-01-11T00:00:00"/>
    <x v="1"/>
    <s v="OZ-011"/>
    <n v="37"/>
    <s v="SO45352"/>
    <x v="0"/>
    <s v="Ogledalo za zid"/>
    <s v="Jovanović Jelica"/>
    <s v="Sofistikacija Doma"/>
    <s v="Šumadija"/>
    <m/>
  </r>
  <r>
    <n v="153"/>
    <d v="2024-01-14T00:00:00"/>
    <x v="2"/>
    <s v="RS-009"/>
    <n v="45"/>
    <s v="MO45356"/>
    <x v="1"/>
    <s v="Radni sto"/>
    <s v="Ognjanović Jovan"/>
    <s v="Udobni Kutak"/>
    <s v="Južni region"/>
    <m/>
  </r>
  <r>
    <n v="153"/>
    <d v="2024-02-01T00:00:00"/>
    <x v="2"/>
    <s v="RF-003"/>
    <n v="26"/>
    <s v="SO45353"/>
    <x v="0"/>
    <s v="Rasklopiva fotelja"/>
    <s v="Ognjanović Jovan"/>
    <s v="Udobni Kutak"/>
    <s v="Južni region"/>
    <m/>
  </r>
  <r>
    <n v="127"/>
    <d v="2024-03-05T00:00:00"/>
    <x v="4"/>
    <s v="KS-001"/>
    <n v="18"/>
    <s v="SO45355"/>
    <x v="0"/>
    <s v="Klub sto"/>
    <s v="Nenadović Novak"/>
    <s v="Luksuzni Dizajn"/>
    <s v="Vojvodina"/>
    <m/>
  </r>
  <r>
    <n v="151"/>
    <d v="2024-03-22T00:00:00"/>
    <x v="1"/>
    <s v="KO-008"/>
    <n v="40"/>
    <s v="SO45351"/>
    <x v="0"/>
    <s v="Komoda"/>
    <s v="Jovanović Jelica"/>
    <s v="Estetski Kutak"/>
    <s v="Srbija"/>
    <m/>
  </r>
  <r>
    <n v="163"/>
    <d v="2024-01-17T00:00:00"/>
    <x v="1"/>
    <s v="NO-007"/>
    <n v="18"/>
    <s v="SO45358"/>
    <x v="3"/>
    <s v="Noćni ormarić"/>
    <s v="Jovanović Jelica"/>
    <s v="Sofistikacija Doma"/>
    <s v="Šumadija"/>
    <m/>
  </r>
  <r>
    <n v="195"/>
    <d v="2024-03-24T00:00:00"/>
    <x v="0"/>
    <s v="SR-006"/>
    <n v="19"/>
    <s v="SO45357"/>
    <x v="4"/>
    <s v="Stolica za ručavanje"/>
    <s v="Anić Antonina"/>
    <s v="Moderni Dom"/>
    <s v="Srbija"/>
    <m/>
  </r>
  <r>
    <n v="186"/>
    <d v="2024-03-18T00:00:00"/>
    <x v="3"/>
    <s v="SF-005"/>
    <n v="3"/>
    <s v="SO45361"/>
    <x v="0"/>
    <s v="Sofa"/>
    <s v="Vučković Sanja"/>
    <s v="Kuća- Uređenje i Dizajn"/>
    <s v="Beogradski region"/>
    <m/>
  </r>
  <r>
    <n v="186"/>
    <d v="2024-03-05T00:00:00"/>
    <x v="3"/>
    <s v="RS-009"/>
    <n v="7"/>
    <s v="SO45360"/>
    <x v="1"/>
    <s v="Radni sto"/>
    <s v="Vučković Sanja"/>
    <s v="Kuća- Uređenje i Dizajn"/>
    <s v="Beogradski region"/>
    <m/>
  </r>
  <r>
    <n v="163"/>
    <d v="2024-03-29T00:00:00"/>
    <x v="1"/>
    <s v="KS-001"/>
    <n v="17"/>
    <s v="SO45362"/>
    <x v="0"/>
    <s v="Klub sto"/>
    <s v="Jovanović Jelica"/>
    <s v="Sofistikacija Doma"/>
    <s v="Šumadija"/>
    <m/>
  </r>
  <r>
    <n v="195"/>
    <d v="2024-02-21T00:00:00"/>
    <x v="0"/>
    <s v="TS-002"/>
    <n v="45"/>
    <s v="SO45359"/>
    <x v="4"/>
    <s v="Trpezarijski sto"/>
    <s v="Anić Antonina"/>
    <s v="Moderni Dom"/>
    <s v="Srbija"/>
    <m/>
  </r>
  <r>
    <n v="127"/>
    <d v="2024-02-12T00:00:00"/>
    <x v="4"/>
    <s v="VP-013"/>
    <n v="7"/>
    <s v="SO45363"/>
    <x v="2"/>
    <s v="Viseća polica"/>
    <s v="Nenadović Novak"/>
    <s v="Luksuzni Dizajn"/>
    <s v="Vojvodina"/>
    <m/>
  </r>
  <r>
    <n v="157"/>
    <d v="2024-03-03T00:00:00"/>
    <x v="2"/>
    <s v="TA-012"/>
    <n v="37"/>
    <s v="MO45364"/>
    <x v="0"/>
    <s v="Tabure"/>
    <s v="Ognjanović Jovan"/>
    <s v="Stilski Stan"/>
    <s v="Vojvodina i Beograd"/>
    <m/>
  </r>
  <r>
    <n v="179"/>
    <d v="2024-01-29T00:00:00"/>
    <x v="3"/>
    <s v="KO-008"/>
    <n v="15"/>
    <s v="SO45366"/>
    <x v="0"/>
    <s v="Komoda"/>
    <s v="Vučković Sanja"/>
    <s v="Elegantni Enterijeri"/>
    <s v="Južni i Šumadijski region"/>
    <m/>
  </r>
  <r>
    <n v="151"/>
    <d v="2024-03-24T00:00:00"/>
    <x v="1"/>
    <s v="KO-008"/>
    <n v="6"/>
    <s v="SO45365"/>
    <x v="0"/>
    <s v="Komoda"/>
    <s v="Jovanović Jelica"/>
    <s v="Estetski Kutak"/>
    <s v="Srbija"/>
    <m/>
  </r>
  <r>
    <n v="179"/>
    <d v="2024-01-21T00:00:00"/>
    <x v="3"/>
    <s v="TA-012"/>
    <n v="19"/>
    <s v="SO45369"/>
    <x v="0"/>
    <s v="Tabure"/>
    <s v="Vučković Sanja"/>
    <s v="Elegantni Enterijeri"/>
    <s v="Južni i Šumadijski region"/>
    <m/>
  </r>
  <r>
    <n v="153"/>
    <d v="2024-03-19T00:00:00"/>
    <x v="2"/>
    <s v="NO-007"/>
    <n v="14"/>
    <s v="SO45370"/>
    <x v="3"/>
    <s v="Noćni ormarić"/>
    <s v="Ognjanović Jovan"/>
    <s v="Udobni Kutak"/>
    <s v="Južni region"/>
    <m/>
  </r>
  <r>
    <n v="195"/>
    <d v="2024-02-19T00:00:00"/>
    <x v="0"/>
    <s v="PK-010"/>
    <n v="5"/>
    <s v="SO45368"/>
    <x v="0"/>
    <s v="Polica za knjige"/>
    <s v="Anić Antonina"/>
    <s v="Moderni Dom"/>
    <s v="Srbija"/>
    <m/>
  </r>
  <r>
    <n v="157"/>
    <d v="2024-03-02T00:00:00"/>
    <x v="2"/>
    <s v="TA-012"/>
    <n v="21"/>
    <s v="SO45367"/>
    <x v="0"/>
    <s v="Tabure"/>
    <s v="Ognjanović Jovan"/>
    <s v="Stilski Stan"/>
    <s v="Vojvodina i Beograd"/>
    <m/>
  </r>
  <r>
    <n v="108"/>
    <d v="2024-03-11T00:00:00"/>
    <x v="0"/>
    <s v="RF-003"/>
    <n v="23"/>
    <s v="SO45375"/>
    <x v="0"/>
    <s v="Rasklopiva fotelja"/>
    <s v="Anić Antonina"/>
    <s v="Dom &amp; Dekor"/>
    <s v="Beogradski region"/>
    <m/>
  </r>
  <r>
    <n v="186"/>
    <d v="2024-03-16T00:00:00"/>
    <x v="3"/>
    <s v="SF-005"/>
    <n v="30"/>
    <s v="MO45376"/>
    <x v="0"/>
    <s v="Sofa"/>
    <s v="Vučković Sanja"/>
    <s v="Kuća- Uređenje i Dizajn"/>
    <s v="Beogradski region"/>
    <m/>
  </r>
  <r>
    <n v="108"/>
    <d v="2024-02-15T00:00:00"/>
    <x v="0"/>
    <s v="VP-013"/>
    <n v="35"/>
    <s v="SO45371"/>
    <x v="2"/>
    <s v="Viseća polica"/>
    <s v="Anić Antonina"/>
    <s v="Dom &amp; Dekor"/>
    <s v="Beogradski region"/>
    <m/>
  </r>
  <r>
    <n v="153"/>
    <d v="2024-01-26T00:00:00"/>
    <x v="2"/>
    <s v="VP-013"/>
    <n v="28"/>
    <s v="SO45372"/>
    <x v="2"/>
    <s v="Viseća polica"/>
    <s v="Ognjanović Jovan"/>
    <s v="Udobni Kutak"/>
    <s v="Južni region"/>
    <m/>
  </r>
  <r>
    <n v="151"/>
    <d v="2024-03-22T00:00:00"/>
    <x v="1"/>
    <s v="TS-002"/>
    <n v="31"/>
    <s v="SO45374"/>
    <x v="4"/>
    <s v="Trpezarijski sto"/>
    <s v="Jovanović Jelica"/>
    <s v="Estetski Kutak"/>
    <s v="Srbija"/>
    <m/>
  </r>
  <r>
    <n v="108"/>
    <d v="2024-03-18T00:00:00"/>
    <x v="0"/>
    <s v="KS-001"/>
    <n v="14"/>
    <s v="SO45373"/>
    <x v="0"/>
    <s v="Klub sto"/>
    <s v="Anić Antonina"/>
    <s v="Dom &amp; Dekor"/>
    <s v="Beogradski region"/>
    <m/>
  </r>
  <r>
    <n v="108"/>
    <d v="2024-01-17T00:00:00"/>
    <x v="0"/>
    <s v="NO-007"/>
    <n v="26"/>
    <s v="MO45384"/>
    <x v="3"/>
    <s v="Noćni ormarić"/>
    <s v="Anić Antonina"/>
    <s v="Dom &amp; Dekor"/>
    <s v="Beogradski region"/>
    <m/>
  </r>
  <r>
    <n v="179"/>
    <d v="2024-02-15T00:00:00"/>
    <x v="3"/>
    <s v="SR-006"/>
    <n v="7"/>
    <s v="SO45380"/>
    <x v="4"/>
    <s v="Stolica za ručavanje"/>
    <s v="Vučković Sanja"/>
    <s v="Elegantni Enterijeri"/>
    <s v="Južni i Šumadijski region"/>
    <m/>
  </r>
  <r>
    <n v="108"/>
    <d v="2024-01-27T00:00:00"/>
    <x v="0"/>
    <s v="NO-007"/>
    <n v="13"/>
    <s v="MO45377"/>
    <x v="3"/>
    <s v="Noćni ormarić"/>
    <s v="Anić Antonina"/>
    <s v="Dom &amp; Dekor"/>
    <s v="Beogradski region"/>
    <m/>
  </r>
  <r>
    <n v="153"/>
    <d v="2024-01-05T00:00:00"/>
    <x v="2"/>
    <s v="VP-013"/>
    <n v="50"/>
    <s v="MO45381"/>
    <x v="2"/>
    <s v="Viseća polica"/>
    <s v="Ognjanović Jovan"/>
    <s v="Udobni Kutak"/>
    <s v="Južni region"/>
    <m/>
  </r>
  <r>
    <n v="163"/>
    <d v="2024-01-17T00:00:00"/>
    <x v="1"/>
    <s v="RS-009"/>
    <n v="50"/>
    <s v="SO45382"/>
    <x v="1"/>
    <s v="Radni sto"/>
    <s v="Jovanović Jelica"/>
    <s v="Sofistikacija Doma"/>
    <s v="Šumadija"/>
    <m/>
  </r>
  <r>
    <n v="186"/>
    <d v="2024-01-16T00:00:00"/>
    <x v="3"/>
    <s v="NO-007"/>
    <n v="37"/>
    <s v="SO45378"/>
    <x v="3"/>
    <s v="Noćni ormarić"/>
    <s v="Vučković Sanja"/>
    <s v="Kuća- Uređenje i Dizajn"/>
    <s v="Beogradski region"/>
    <m/>
  </r>
  <r>
    <n v="108"/>
    <d v="2024-02-04T00:00:00"/>
    <x v="0"/>
    <s v="SF-005"/>
    <n v="40"/>
    <s v="SO45383"/>
    <x v="0"/>
    <s v="Sofa"/>
    <s v="Anić Antonina"/>
    <s v="Dom &amp; Dekor"/>
    <s v="Beogradski region"/>
    <m/>
  </r>
  <r>
    <n v="153"/>
    <d v="2024-03-11T00:00:00"/>
    <x v="2"/>
    <s v="OZ-011"/>
    <n v="28"/>
    <s v="SO45385"/>
    <x v="0"/>
    <s v="Ogledalo za zid"/>
    <s v="Ognjanović Jovan"/>
    <s v="Udobni Kutak"/>
    <s v="Južni region"/>
    <m/>
  </r>
  <r>
    <n v="127"/>
    <d v="2024-03-19T00:00:00"/>
    <x v="4"/>
    <s v="VP-013"/>
    <n v="46"/>
    <s v="SO45379"/>
    <x v="2"/>
    <s v="Viseća polica"/>
    <s v="Nenadović Novak"/>
    <s v="Luksuzni Dizajn"/>
    <s v="Vojvodina"/>
    <m/>
  </r>
  <r>
    <n v="152"/>
    <d v="2024-02-05T00:00:00"/>
    <x v="4"/>
    <s v="KO-014"/>
    <n v="29"/>
    <s v="SO45386"/>
    <x v="2"/>
    <s v="Kuhinjsko ostrvo"/>
    <s v="Nenadović Novak"/>
    <s v="Prostor za Uživanje"/>
    <s v="Srbija"/>
    <m/>
  </r>
  <r>
    <n v="152"/>
    <d v="2024-02-10T00:00:00"/>
    <x v="4"/>
    <s v="SR-006"/>
    <n v="19"/>
    <s v="SO45388"/>
    <x v="4"/>
    <s v="Stolica za ručavanje"/>
    <s v="Nenadović Novak"/>
    <s v="Prostor za Uživanje"/>
    <s v="Srbija"/>
    <m/>
  </r>
  <r>
    <n v="152"/>
    <d v="2024-03-09T00:00:00"/>
    <x v="4"/>
    <s v="PK-010"/>
    <n v="33"/>
    <s v="SO45390"/>
    <x v="0"/>
    <s v="Polica za knjige"/>
    <s v="Nenadović Novak"/>
    <s v="Prostor za Uživanje"/>
    <s v="Srbija"/>
    <m/>
  </r>
  <r>
    <n v="151"/>
    <d v="2024-02-12T00:00:00"/>
    <x v="1"/>
    <s v="OT-004"/>
    <n v="7"/>
    <s v="SO45392"/>
    <x v="0"/>
    <s v="Ormarić za TV"/>
    <s v="Jovanović Jelica"/>
    <s v="Estetski Kutak"/>
    <s v="Srbija"/>
    <m/>
  </r>
  <r>
    <n v="157"/>
    <d v="2024-01-24T00:00:00"/>
    <x v="2"/>
    <s v="OT-004"/>
    <n v="27"/>
    <s v="SO45391"/>
    <x v="0"/>
    <s v="Ormarić za TV"/>
    <s v="Ognjanović Jovan"/>
    <s v="Stilski Stan"/>
    <s v="Vojvodina i Beograd"/>
    <m/>
  </r>
  <r>
    <n v="151"/>
    <d v="2024-01-26T00:00:00"/>
    <x v="1"/>
    <s v="KO-014"/>
    <n v="32"/>
    <s v="SO45387"/>
    <x v="2"/>
    <s v="Kuhinjsko ostrvo"/>
    <s v="Jovanović Jelica"/>
    <s v="Estetski Kutak"/>
    <s v="Srbija"/>
    <m/>
  </r>
  <r>
    <n v="163"/>
    <d v="2024-03-06T00:00:00"/>
    <x v="1"/>
    <s v="RF-003"/>
    <n v="47"/>
    <s v="SO45389"/>
    <x v="0"/>
    <s v="Rasklopiva fotelja"/>
    <s v="Jovanović Jelica"/>
    <s v="Sofistikacija Doma"/>
    <s v="Šumadija"/>
    <m/>
  </r>
  <r>
    <n v="108"/>
    <d v="2024-03-14T00:00:00"/>
    <x v="0"/>
    <s v="OZ-011"/>
    <n v="6"/>
    <s v="SO45394"/>
    <x v="0"/>
    <s v="Ogledalo za zid"/>
    <s v="Anić Antonina"/>
    <s v="Dom &amp; Dekor"/>
    <s v="Beogradski region"/>
    <m/>
  </r>
  <r>
    <n v="151"/>
    <d v="2024-03-06T00:00:00"/>
    <x v="1"/>
    <s v="PK-010"/>
    <n v="24"/>
    <s v="SO45395"/>
    <x v="0"/>
    <s v="Polica za knjige"/>
    <s v="Jovanović Jelica"/>
    <s v="Estetski Kutak"/>
    <s v="Srbija"/>
    <m/>
  </r>
  <r>
    <n v="153"/>
    <d v="2024-02-01T00:00:00"/>
    <x v="2"/>
    <s v="RS-009"/>
    <n v="46"/>
    <s v="MO45393"/>
    <x v="1"/>
    <s v="Radni sto"/>
    <s v="Ognjanović Jovan"/>
    <s v="Udobni Kutak"/>
    <s v="Južni region"/>
    <m/>
  </r>
  <r>
    <n v="195"/>
    <d v="2024-03-27T00:00:00"/>
    <x v="0"/>
    <s v="PK-010"/>
    <n v="26"/>
    <s v="SO45396"/>
    <x v="0"/>
    <s v="Polica za knjige"/>
    <s v="Anić Antonina"/>
    <s v="Moderni Dom"/>
    <s v="Srbija"/>
    <m/>
  </r>
  <r>
    <n v="153"/>
    <d v="2024-02-28T00:00:00"/>
    <x v="2"/>
    <s v="NO-007"/>
    <n v="8"/>
    <s v="SO45397"/>
    <x v="3"/>
    <s v="Noćni ormarić"/>
    <s v="Ognjanović Jovan"/>
    <s v="Udobni Kutak"/>
    <s v="Južni region"/>
    <m/>
  </r>
  <r>
    <n v="195"/>
    <d v="2024-03-01T00:00:00"/>
    <x v="0"/>
    <s v="SR-006"/>
    <n v="49"/>
    <s v="SO45398"/>
    <x v="4"/>
    <s v="Stolica za ručavanje"/>
    <s v="Anić Antonina"/>
    <s v="Moderni Dom"/>
    <s v="Srbija"/>
    <m/>
  </r>
  <r>
    <n v="153"/>
    <d v="2024-01-05T00:00:00"/>
    <x v="2"/>
    <s v="VP-013"/>
    <n v="14"/>
    <s v="SO45400"/>
    <x v="2"/>
    <s v="Viseća polica"/>
    <s v="Ognjanović Jovan"/>
    <s v="Udobni Kutak"/>
    <s v="Južni region"/>
    <m/>
  </r>
  <r>
    <n v="157"/>
    <d v="2024-02-27T00:00:00"/>
    <x v="2"/>
    <s v="KO-014"/>
    <n v="42"/>
    <s v="SO45406"/>
    <x v="2"/>
    <s v="Kuhinjsko ostrvo"/>
    <s v="Ognjanović Jovan"/>
    <s v="Stilski Stan"/>
    <s v="Vojvodina i Beograd"/>
    <m/>
  </r>
  <r>
    <n v="163"/>
    <d v="2024-03-16T00:00:00"/>
    <x v="1"/>
    <s v="SF-005"/>
    <n v="44"/>
    <s v="SO45401"/>
    <x v="0"/>
    <s v="Sofa"/>
    <s v="Jovanović Jelica"/>
    <s v="Sofistikacija Doma"/>
    <s v="Šumadija"/>
    <m/>
  </r>
  <r>
    <n v="153"/>
    <d v="2024-02-19T00:00:00"/>
    <x v="2"/>
    <s v="RF-003"/>
    <n v="50"/>
    <s v="SO45405"/>
    <x v="0"/>
    <s v="Rasklopiva fotelja"/>
    <s v="Ognjanović Jovan"/>
    <s v="Udobni Kutak"/>
    <s v="Južni region"/>
    <m/>
  </r>
  <r>
    <n v="186"/>
    <d v="2024-02-28T00:00:00"/>
    <x v="3"/>
    <s v="RS-009"/>
    <n v="40"/>
    <s v="SO45409"/>
    <x v="1"/>
    <s v="Radni sto"/>
    <s v="Vučković Sanja"/>
    <s v="Kuća- Uređenje i Dizajn"/>
    <s v="Beogradski region"/>
    <m/>
  </r>
  <r>
    <n v="108"/>
    <d v="2024-01-27T00:00:00"/>
    <x v="0"/>
    <s v="SF-005"/>
    <n v="43"/>
    <s v="SO45402"/>
    <x v="0"/>
    <s v="Sofa"/>
    <s v="Anić Antonina"/>
    <s v="Dom &amp; Dekor"/>
    <s v="Beogradski region"/>
    <m/>
  </r>
  <r>
    <n v="151"/>
    <d v="2024-03-10T00:00:00"/>
    <x v="1"/>
    <s v="SR-006"/>
    <n v="12"/>
    <s v="SO45404"/>
    <x v="4"/>
    <s v="Stolica za ručavanje"/>
    <s v="Jovanović Jelica"/>
    <s v="Estetski Kutak"/>
    <s v="Srbija"/>
    <m/>
  </r>
  <r>
    <n v="163"/>
    <d v="2024-01-12T00:00:00"/>
    <x v="1"/>
    <s v="RS-009"/>
    <n v="39"/>
    <s v="SO45407"/>
    <x v="1"/>
    <s v="Radni sto"/>
    <s v="Jovanović Jelica"/>
    <s v="Sofistikacija Doma"/>
    <s v="Šumadija"/>
    <m/>
  </r>
  <r>
    <n v="151"/>
    <d v="2024-01-15T00:00:00"/>
    <x v="1"/>
    <s v="SR-006"/>
    <n v="24"/>
    <s v="SO45408"/>
    <x v="4"/>
    <s v="Stolica za ručavanje"/>
    <s v="Jovanović Jelica"/>
    <s v="Estetski Kutak"/>
    <s v="Srbija"/>
    <m/>
  </r>
  <r>
    <n v="127"/>
    <d v="2024-02-24T00:00:00"/>
    <x v="4"/>
    <s v="RS-009"/>
    <n v="14"/>
    <s v="SO45419"/>
    <x v="1"/>
    <s v="Radni sto"/>
    <s v="Nenadović Novak"/>
    <s v="Luksuzni Dizajn"/>
    <s v="Vojvodina"/>
    <m/>
  </r>
  <r>
    <n v="163"/>
    <d v="2024-02-29T00:00:00"/>
    <x v="1"/>
    <s v="RS-009"/>
    <n v="9"/>
    <s v="SO45412"/>
    <x v="1"/>
    <s v="Radni sto"/>
    <s v="Jovanović Jelica"/>
    <s v="Sofistikacija Doma"/>
    <s v="Šumadija"/>
    <m/>
  </r>
  <r>
    <n v="157"/>
    <d v="2024-02-06T00:00:00"/>
    <x v="2"/>
    <s v="OT-004"/>
    <n v="13"/>
    <s v="SO45417"/>
    <x v="0"/>
    <s v="Ormarić za TV"/>
    <s v="Ognjanović Jovan"/>
    <s v="Stilski Stan"/>
    <s v="Vojvodina i Beograd"/>
    <m/>
  </r>
  <r>
    <n v="151"/>
    <d v="2024-01-31T00:00:00"/>
    <x v="1"/>
    <s v="TA-012"/>
    <n v="8"/>
    <s v="SO45410"/>
    <x v="0"/>
    <s v="Tabure"/>
    <s v="Jovanović Jelica"/>
    <s v="Estetski Kutak"/>
    <s v="Srbija"/>
    <m/>
  </r>
  <r>
    <n v="108"/>
    <d v="2024-01-02T00:00:00"/>
    <x v="0"/>
    <s v="NO-007"/>
    <n v="16"/>
    <s v="SO45416"/>
    <x v="3"/>
    <s v="Noćni ormarić"/>
    <s v="Anić Antonina"/>
    <s v="Dom &amp; Dekor"/>
    <s v="Beogradski region"/>
    <m/>
  </r>
  <r>
    <n v="163"/>
    <d v="2024-02-24T00:00:00"/>
    <x v="1"/>
    <s v="OZ-011"/>
    <n v="2"/>
    <s v="SO45411"/>
    <x v="0"/>
    <s v="Ogledalo za zid"/>
    <s v="Jovanović Jelica"/>
    <s v="Sofistikacija Doma"/>
    <s v="Šumadija"/>
    <m/>
  </r>
  <r>
    <n v="151"/>
    <d v="2024-02-14T00:00:00"/>
    <x v="1"/>
    <s v="SR-006"/>
    <n v="8"/>
    <s v="MO45414"/>
    <x v="4"/>
    <s v="Stolica za ručavanje"/>
    <s v="Jovanović Jelica"/>
    <s v="Estetski Kutak"/>
    <s v="Srbija"/>
    <m/>
  </r>
  <r>
    <n v="151"/>
    <d v="2024-01-30T00:00:00"/>
    <x v="1"/>
    <s v="TA-012"/>
    <n v="39"/>
    <s v="SO45413"/>
    <x v="0"/>
    <s v="Tabure"/>
    <s v="Jovanović Jelica"/>
    <s v="Estetski Kutak"/>
    <s v="Srbija"/>
    <m/>
  </r>
  <r>
    <n v="153"/>
    <d v="2024-03-28T00:00:00"/>
    <x v="2"/>
    <s v="RS-009"/>
    <n v="47"/>
    <s v="SO45418"/>
    <x v="1"/>
    <s v="Radni sto"/>
    <s v="Ognjanović Jovan"/>
    <s v="Udobni Kutak"/>
    <s v="Južni region"/>
    <m/>
  </r>
  <r>
    <n v="127"/>
    <d v="2024-03-28T00:00:00"/>
    <x v="4"/>
    <s v="SF-005"/>
    <n v="26"/>
    <s v="SO45421"/>
    <x v="0"/>
    <s v="Sofa"/>
    <s v="Nenadović Novak"/>
    <s v="Luksuzni Dizajn"/>
    <s v="Vojvodina"/>
    <m/>
  </r>
  <r>
    <n v="186"/>
    <d v="2024-03-12T00:00:00"/>
    <x v="3"/>
    <s v="OZ-011"/>
    <n v="29"/>
    <s v="SO45415"/>
    <x v="0"/>
    <s v="Ogledalo za zid"/>
    <s v="Vučković Sanja"/>
    <s v="Kuća- Uređenje i Dizajn"/>
    <s v="Beogradski region"/>
    <m/>
  </r>
  <r>
    <n v="157"/>
    <d v="2024-03-08T00:00:00"/>
    <x v="2"/>
    <s v="KO-008"/>
    <n v="25"/>
    <s v="SO45420"/>
    <x v="0"/>
    <s v="Komoda"/>
    <s v="Ognjanović Jovan"/>
    <s v="Stilski Stan"/>
    <s v="Vojvodina i Beograd"/>
    <m/>
  </r>
  <r>
    <n v="152"/>
    <d v="2024-03-09T00:00:00"/>
    <x v="4"/>
    <s v="KO-008"/>
    <n v="3"/>
    <s v="SO45424"/>
    <x v="0"/>
    <s v="Komoda"/>
    <s v="Nenadović Novak"/>
    <s v="Prostor za Uživanje"/>
    <s v="Srbija"/>
    <m/>
  </r>
  <r>
    <n v="179"/>
    <d v="2024-02-28T00:00:00"/>
    <x v="3"/>
    <s v="TS-002"/>
    <n v="11"/>
    <s v="MO45423"/>
    <x v="4"/>
    <s v="Trpezarijski sto"/>
    <s v="Vučković Sanja"/>
    <s v="Elegantni Enterijeri"/>
    <s v="Južni i Šumadijski region"/>
    <m/>
  </r>
  <r>
    <n v="186"/>
    <d v="2024-01-01T00:00:00"/>
    <x v="3"/>
    <s v="RS-009"/>
    <n v="29"/>
    <s v="SO45422"/>
    <x v="1"/>
    <s v="Radni sto"/>
    <s v="Vučković Sanja"/>
    <s v="Kuća- Uređenje i Dizajn"/>
    <s v="Beogradski region"/>
    <m/>
  </r>
  <r>
    <n v="186"/>
    <d v="2024-01-09T00:00:00"/>
    <x v="3"/>
    <s v="VP-013"/>
    <n v="33"/>
    <s v="SO45428"/>
    <x v="2"/>
    <s v="Viseća polica"/>
    <s v="Vučković Sanja"/>
    <s v="Kuća- Uređenje i Dizajn"/>
    <s v="Beogradski region"/>
    <m/>
  </r>
  <r>
    <n v="157"/>
    <d v="2024-03-06T00:00:00"/>
    <x v="2"/>
    <s v="PK-010"/>
    <n v="50"/>
    <s v="SO45427"/>
    <x v="0"/>
    <s v="Polica za knjige"/>
    <s v="Ognjanović Jovan"/>
    <s v="Stilski Stan"/>
    <s v="Vojvodina i Beograd"/>
    <m/>
  </r>
  <r>
    <n v="152"/>
    <d v="2024-03-12T00:00:00"/>
    <x v="4"/>
    <s v="SR-006"/>
    <n v="48"/>
    <s v="SO45425"/>
    <x v="4"/>
    <s v="Stolica za ručavanje"/>
    <s v="Nenadović Novak"/>
    <s v="Prostor za Uživanje"/>
    <s v="Srbija"/>
    <m/>
  </r>
  <r>
    <n v="179"/>
    <d v="2024-01-17T00:00:00"/>
    <x v="3"/>
    <s v="KO-008"/>
    <n v="5"/>
    <s v="SO45431"/>
    <x v="0"/>
    <s v="Komoda"/>
    <s v="Vučković Sanja"/>
    <s v="Elegantni Enterijeri"/>
    <s v="Južni i Šumadijski region"/>
    <m/>
  </r>
  <r>
    <n v="151"/>
    <d v="2024-02-19T00:00:00"/>
    <x v="1"/>
    <s v="PK-010"/>
    <n v="39"/>
    <s v="SO45429"/>
    <x v="0"/>
    <s v="Polica za knjige"/>
    <s v="Jovanović Jelica"/>
    <s v="Estetski Kutak"/>
    <s v="Srbija"/>
    <m/>
  </r>
  <r>
    <n v="127"/>
    <d v="2024-01-20T00:00:00"/>
    <x v="4"/>
    <s v="VP-013"/>
    <n v="41"/>
    <s v="SO45430"/>
    <x v="2"/>
    <s v="Viseća polica"/>
    <s v="Nenadović Novak"/>
    <s v="Luksuzni Dizajn"/>
    <s v="Vojvodina"/>
    <m/>
  </r>
  <r>
    <n v="127"/>
    <d v="2024-01-18T00:00:00"/>
    <x v="4"/>
    <s v="NO-007"/>
    <n v="39"/>
    <s v="SO45433"/>
    <x v="3"/>
    <s v="Noćni ormarić"/>
    <s v="Nenadović Novak"/>
    <s v="Luksuzni Dizajn"/>
    <s v="Vojvodina"/>
    <m/>
  </r>
  <r>
    <n v="157"/>
    <d v="2024-02-20T00:00:00"/>
    <x v="2"/>
    <s v="TA-012"/>
    <n v="5"/>
    <s v="SO45439"/>
    <x v="0"/>
    <s v="Tabure"/>
    <s v="Ognjanović Jovan"/>
    <s v="Stilski Stan"/>
    <s v="Vojvodina i Beograd"/>
    <m/>
  </r>
  <r>
    <n v="179"/>
    <d v="2024-02-07T00:00:00"/>
    <x v="3"/>
    <s v="SR-006"/>
    <n v="40"/>
    <s v="SO45435"/>
    <x v="4"/>
    <s v="Stolica za ručavanje"/>
    <s v="Vučković Sanja"/>
    <s v="Elegantni Enterijeri"/>
    <s v="Južni i Šumadijski region"/>
    <m/>
  </r>
  <r>
    <n v="151"/>
    <d v="2024-02-16T00:00:00"/>
    <x v="1"/>
    <s v="OT-004"/>
    <n v="12"/>
    <s v="SO45436"/>
    <x v="0"/>
    <s v="Ormarić za TV"/>
    <s v="Jovanović Jelica"/>
    <s v="Estetski Kutak"/>
    <s v="Srbija"/>
    <m/>
  </r>
  <r>
    <n v="108"/>
    <d v="2024-03-02T00:00:00"/>
    <x v="0"/>
    <s v="RS-009"/>
    <n v="10"/>
    <s v="SO45437"/>
    <x v="1"/>
    <s v="Radni sto"/>
    <s v="Anić Antonina"/>
    <s v="Dom &amp; Dekor"/>
    <s v="Beogradski region"/>
    <m/>
  </r>
  <r>
    <n v="108"/>
    <d v="2024-01-04T00:00:00"/>
    <x v="0"/>
    <s v="SF-005"/>
    <n v="39"/>
    <s v="SO45434"/>
    <x v="0"/>
    <s v="Sofa"/>
    <s v="Anić Antonina"/>
    <s v="Dom &amp; Dekor"/>
    <s v="Beogradski region"/>
    <m/>
  </r>
  <r>
    <n v="163"/>
    <d v="2024-02-22T00:00:00"/>
    <x v="1"/>
    <s v="VP-013"/>
    <n v="14"/>
    <s v="SO45438"/>
    <x v="2"/>
    <s v="Viseća polica"/>
    <s v="Jovanović Jelica"/>
    <s v="Sofistikacija Doma"/>
    <s v="Šumadija"/>
    <m/>
  </r>
  <r>
    <n v="127"/>
    <d v="2024-02-08T00:00:00"/>
    <x v="4"/>
    <s v="OZ-011"/>
    <n v="42"/>
    <s v="SO45432"/>
    <x v="0"/>
    <s v="Ogledalo za zid"/>
    <s v="Nenadović Novak"/>
    <s v="Luksuzni Dizajn"/>
    <s v="Vojvodina"/>
    <m/>
  </r>
  <r>
    <n v="195"/>
    <d v="2024-02-09T00:00:00"/>
    <x v="0"/>
    <s v="TS-002"/>
    <n v="9"/>
    <s v="MO45444"/>
    <x v="4"/>
    <s v="Trpezarijski sto"/>
    <s v="Anić Antonina"/>
    <s v="Moderni Dom"/>
    <s v="Srbija"/>
    <m/>
  </r>
  <r>
    <n v="108"/>
    <d v="2024-02-17T00:00:00"/>
    <x v="0"/>
    <s v="VP-013"/>
    <n v="3"/>
    <s v="MO45440"/>
    <x v="2"/>
    <s v="Viseća polica"/>
    <s v="Anić Antonina"/>
    <s v="Dom &amp; Dekor"/>
    <s v="Beogradski region"/>
    <m/>
  </r>
  <r>
    <n v="127"/>
    <d v="2024-01-25T00:00:00"/>
    <x v="4"/>
    <s v="SF-005"/>
    <n v="48"/>
    <s v="SO45441"/>
    <x v="0"/>
    <s v="Sofa"/>
    <s v="Nenadović Novak"/>
    <s v="Luksuzni Dizajn"/>
    <s v="Vojvodina"/>
    <m/>
  </r>
  <r>
    <n v="186"/>
    <d v="2024-03-05T00:00:00"/>
    <x v="3"/>
    <s v="VP-013"/>
    <n v="46"/>
    <s v="SO45443"/>
    <x v="2"/>
    <s v="Viseća polica"/>
    <s v="Vučković Sanja"/>
    <s v="Kuća- Uređenje i Dizajn"/>
    <s v="Beogradski region"/>
    <m/>
  </r>
  <r>
    <n v="163"/>
    <d v="2024-01-06T00:00:00"/>
    <x v="1"/>
    <s v="SF-005"/>
    <n v="34"/>
    <s v="SO45442"/>
    <x v="0"/>
    <s v="Sofa"/>
    <s v="Jovanović Jelica"/>
    <s v="Sofistikacija Doma"/>
    <s v="Šumadija"/>
    <m/>
  </r>
  <r>
    <n v="186"/>
    <d v="2024-02-16T00:00:00"/>
    <x v="3"/>
    <s v="RS-009"/>
    <n v="33"/>
    <s v="SO45445"/>
    <x v="1"/>
    <s v="Radni sto"/>
    <s v="Vučković Sanja"/>
    <s v="Kuća- Uređenje i Dizajn"/>
    <s v="Beogradski region"/>
    <m/>
  </r>
  <r>
    <n v="195"/>
    <d v="2024-03-10T00:00:00"/>
    <x v="0"/>
    <s v="OT-004"/>
    <n v="12"/>
    <s v="MO45447"/>
    <x v="0"/>
    <s v="Ormarić za TV"/>
    <s v="Anić Antonina"/>
    <s v="Moderni Dom"/>
    <s v="Srbija"/>
    <m/>
  </r>
  <r>
    <n v="179"/>
    <d v="2024-01-17T00:00:00"/>
    <x v="3"/>
    <s v="KO-014"/>
    <n v="6"/>
    <s v="SO45446"/>
    <x v="2"/>
    <s v="Kuhinjsko ostrvo"/>
    <s v="Vučković Sanja"/>
    <s v="Elegantni Enterijeri"/>
    <s v="Južni i Šumadijski region"/>
    <m/>
  </r>
  <r>
    <n v="163"/>
    <d v="2024-02-12T00:00:00"/>
    <x v="1"/>
    <s v="VP-013"/>
    <n v="40"/>
    <s v="SO45448"/>
    <x v="2"/>
    <s v="Viseća polica"/>
    <s v="Jovanović Jelica"/>
    <s v="Sofistikacija Doma"/>
    <s v="Šumadija"/>
    <m/>
  </r>
  <r>
    <n v="163"/>
    <d v="2024-01-28T00:00:00"/>
    <x v="1"/>
    <s v="NO-007"/>
    <n v="5"/>
    <s v="SO45450"/>
    <x v="3"/>
    <s v="Noćni ormarić"/>
    <s v="Jovanović Jelica"/>
    <s v="Sofistikacija Doma"/>
    <s v="Šumadija"/>
    <m/>
  </r>
  <r>
    <n v="179"/>
    <d v="2024-03-08T00:00:00"/>
    <x v="3"/>
    <s v="SR-006"/>
    <n v="13"/>
    <s v="MO45452"/>
    <x v="4"/>
    <s v="Stolica za ručavanje"/>
    <s v="Vučković Sanja"/>
    <s v="Elegantni Enterijeri"/>
    <s v="Južni i Šumadijski region"/>
    <m/>
  </r>
  <r>
    <n v="186"/>
    <d v="2024-01-12T00:00:00"/>
    <x v="4"/>
    <s v="OZ-011"/>
    <n v="42"/>
    <s v="SO45451"/>
    <x v="0"/>
    <s v="Ogledalo za zid"/>
    <s v="Nenadović Novak"/>
    <s v="Kuća- Uređenje i Dizajn"/>
    <s v="Beogradski region"/>
    <m/>
  </r>
  <r>
    <n v="152"/>
    <d v="2024-03-22T00:00:00"/>
    <x v="4"/>
    <s v="SR-006"/>
    <n v="45"/>
    <s v="SO45449"/>
    <x v="4"/>
    <s v="Stolica za ručavanje"/>
    <s v="Nenadović Novak"/>
    <s v="Prostor za Uživanje"/>
    <s v="Srbija"/>
    <m/>
  </r>
  <r>
    <n v="153"/>
    <d v="2024-03-01T00:00:00"/>
    <x v="2"/>
    <s v="RS-009"/>
    <n v="48"/>
    <s v="SO45453"/>
    <x v="1"/>
    <s v="Radni sto"/>
    <s v="Ognjanović Jovan"/>
    <s v="Udobni Kutak"/>
    <s v="Južni region"/>
    <m/>
  </r>
  <r>
    <n v="195"/>
    <d v="2024-01-04T00:00:00"/>
    <x v="0"/>
    <s v="KO-014"/>
    <n v="12"/>
    <s v="SO45454"/>
    <x v="2"/>
    <s v="Kuhinjsko ostrvo"/>
    <s v="Anić Antonina"/>
    <s v="Moderni Dom"/>
    <s v="Srbija"/>
    <m/>
  </r>
  <r>
    <n v="195"/>
    <d v="2024-01-26T00:00:00"/>
    <x v="0"/>
    <s v="KO-008"/>
    <n v="48"/>
    <s v="SO45458"/>
    <x v="0"/>
    <s v="Komoda"/>
    <s v="Anić Antonina"/>
    <s v="Moderni Dom"/>
    <s v="Srbija"/>
    <m/>
  </r>
  <r>
    <n v="163"/>
    <d v="2024-02-23T00:00:00"/>
    <x v="1"/>
    <s v="OZ-011"/>
    <n v="39"/>
    <s v="SO45459"/>
    <x v="0"/>
    <s v="Ogledalo za zid"/>
    <s v="Jovanović Jelica"/>
    <s v="Sofistikacija Doma"/>
    <s v="Šumadija"/>
    <m/>
  </r>
  <r>
    <n v="186"/>
    <d v="2024-02-14T00:00:00"/>
    <x v="3"/>
    <s v="RS-009"/>
    <n v="49"/>
    <s v="SO45457"/>
    <x v="1"/>
    <s v="Radni sto"/>
    <s v="Vučković Sanja"/>
    <s v="Kuća- Uređenje i Dizajn"/>
    <s v="Beogradski region"/>
    <m/>
  </r>
  <r>
    <n v="108"/>
    <d v="2024-02-17T00:00:00"/>
    <x v="0"/>
    <s v="OZ-011"/>
    <n v="29"/>
    <s v="SO45455"/>
    <x v="0"/>
    <s v="Ogledalo za zid"/>
    <s v="Anić Antonina"/>
    <s v="Dom &amp; Dekor"/>
    <s v="Beogradski region"/>
    <m/>
  </r>
  <r>
    <n v="127"/>
    <d v="2024-02-09T00:00:00"/>
    <x v="4"/>
    <s v="SF-005"/>
    <n v="50"/>
    <s v="MO45456"/>
    <x v="0"/>
    <s v="Sofa"/>
    <s v="Nenadović Novak"/>
    <s v="Luksuzni Dizajn"/>
    <s v="Vojvodina"/>
    <m/>
  </r>
  <r>
    <n v="151"/>
    <d v="2024-03-04T00:00:00"/>
    <x v="1"/>
    <s v="KO-008"/>
    <n v="43"/>
    <s v="MO45461"/>
    <x v="0"/>
    <s v="Komoda"/>
    <s v="Jovanović Jelica"/>
    <s v="Estetski Kutak"/>
    <s v="Srbija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CD8D47-B989-432D-AF1F-26A1E8BA72C6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6">
  <location ref="A3:B7" firstHeaderRow="1" firstDataRow="1" firstDataCol="1"/>
  <pivotFields count="13"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2">
    <field x="12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Broj komada proizvoda " fld="4" baseField="0" baseItem="0"/>
  </dataFields>
  <chartFormats count="1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5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9CE830-803B-4EE8-B7CC-C8B4DDC83552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3">
  <location ref="A3:B11" firstHeaderRow="1" firstDataRow="1" firstDataCol="1"/>
  <pivotFields count="13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9">
        <item x="2"/>
        <item x="3"/>
        <item x="1"/>
        <item x="0"/>
        <item x="4"/>
        <item x="5"/>
        <item x="6"/>
        <item h="1" x="7"/>
        <item t="default"/>
      </items>
    </pivotField>
    <pivotField showAll="0"/>
    <pivotField showAll="0" defaultSubtota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Broj komada proizvoda " fld="4" showDataAs="percentOfTotal" baseField="10" baseItem="0" numFmtId="1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F28DBC-A33E-41BB-A0D3-CFAF9058824C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3">
  <location ref="A3:L8" firstHeaderRow="1" firstDataRow="2" firstDataCol="1"/>
  <pivotFields count="13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Col" showAll="0">
      <items count="12">
        <item x="2"/>
        <item x="5"/>
        <item x="3"/>
        <item x="4"/>
        <item x="8"/>
        <item x="0"/>
        <item x="7"/>
        <item x="6"/>
        <item x="9"/>
        <item x="1"/>
        <item x="10"/>
        <item t="default"/>
      </items>
    </pivotField>
    <pivotField showAll="0"/>
    <pivotField showAll="0"/>
    <pivotField axis="axisRow" showAll="0" defaultSubtotal="0">
      <items count="14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2"/>
  </rowFields>
  <rowItems count="4">
    <i>
      <x v="1"/>
    </i>
    <i>
      <x v="2"/>
    </i>
    <i>
      <x v="3"/>
    </i>
    <i t="grand">
      <x/>
    </i>
  </rowItems>
  <colFields count="1">
    <field x="9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Average of Broj komada proizvoda " fld="4" subtotal="average" baseField="0" baseItem="0" numFmtId="2"/>
  </dataFields>
  <formats count="1">
    <format dxfId="0">
      <pivotArea type="all" dataOnly="0" outline="0" fieldPosition="0"/>
    </format>
  </formats>
  <chartFormats count="31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12" format="2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2" format="2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2" format="2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2" format="2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2" format="2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12" format="2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12" format="2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12" format="3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237A16-475B-4897-BF65-96D1EFB7D5BD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4">
  <location ref="A3:C10" firstHeaderRow="1" firstDataRow="2" firstDataCol="1"/>
  <pivotFields count="13">
    <pivotField showAll="0"/>
    <pivotField showAll="0"/>
    <pivotField axis="axisRow" showAll="0">
      <items count="7">
        <item x="4"/>
        <item x="3"/>
        <item x="1"/>
        <item x="0"/>
        <item x="2"/>
        <item h="1" x="5"/>
        <item t="default"/>
      </items>
    </pivotField>
    <pivotField showAll="0"/>
    <pivotField dataField="1" showAll="0"/>
    <pivotField showAll="0"/>
    <pivotField axis="axisCol" showAll="0">
      <items count="7">
        <item h="1" x="2"/>
        <item h="1" x="0"/>
        <item h="1" x="1"/>
        <item x="3"/>
        <item h="1" x="4"/>
        <item h="1" x="5"/>
        <item t="default"/>
      </items>
    </pivotField>
    <pivotField showAll="0"/>
    <pivotField showAll="0"/>
    <pivotField showAll="0"/>
    <pivotField showAll="0"/>
    <pivotField showAll="0"/>
    <pivotField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2">
    <i>
      <x v="3"/>
    </i>
    <i t="grand">
      <x/>
    </i>
  </colItems>
  <dataFields count="1">
    <dataField name="Sum of Broj komada proizvoda " fld="4" baseField="2" baseItem="0"/>
  </dataFields>
  <chartFormats count="3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3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1"/>
          </reference>
        </references>
      </pivotArea>
    </chartFormat>
    <chartFormat chart="13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1"/>
          </reference>
        </references>
      </pivotArea>
    </chartFormat>
    <chartFormat chart="13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1"/>
          </reference>
        </references>
      </pivotArea>
    </chartFormat>
    <chartFormat chart="13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6" count="1" selected="0">
            <x v="1"/>
          </reference>
        </references>
      </pivotArea>
    </chartFormat>
    <chartFormat chart="13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6" count="1" selected="0">
            <x v="1"/>
          </reference>
        </references>
      </pivotArea>
    </chartFormat>
    <chartFormat chart="10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1"/>
          </reference>
        </references>
      </pivotArea>
    </chartFormat>
    <chartFormat chart="10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1"/>
          </reference>
        </references>
      </pivotArea>
    </chartFormat>
    <chartFormat chart="10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1"/>
          </reference>
        </references>
      </pivotArea>
    </chartFormat>
    <chartFormat chart="10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6" count="1" selected="0">
            <x v="1"/>
          </reference>
        </references>
      </pivotArea>
    </chartFormat>
    <chartFormat chart="10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6" count="1" selected="0">
            <x v="1"/>
          </reference>
        </references>
      </pivotArea>
    </chartFormat>
    <chartFormat chart="13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3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3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3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3"/>
          </reference>
        </references>
      </pivotArea>
    </chartFormat>
    <chartFormat chart="13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3"/>
          </reference>
        </references>
      </pivotArea>
    </chartFormat>
    <chartFormat chart="13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3"/>
          </reference>
        </references>
      </pivotArea>
    </chartFormat>
    <chartFormat chart="13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6" count="1" selected="0">
            <x v="3"/>
          </reference>
        </references>
      </pivotArea>
    </chartFormat>
    <chartFormat chart="13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6" count="1" selected="0">
            <x v="3"/>
          </reference>
        </references>
      </pivotArea>
    </chartFormat>
    <chartFormat chart="10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3"/>
          </reference>
        </references>
      </pivotArea>
    </chartFormat>
    <chartFormat chart="10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3"/>
          </reference>
        </references>
      </pivotArea>
    </chartFormat>
    <chartFormat chart="10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3"/>
          </reference>
        </references>
      </pivotArea>
    </chartFormat>
    <chartFormat chart="10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6" count="1" selected="0">
            <x v="3"/>
          </reference>
        </references>
      </pivotArea>
    </chartFormat>
    <chartFormat chart="10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F20870-B1CC-4809-9F7B-290D6F552993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3:G10" firstHeaderRow="1" firstDataRow="2" firstDataCol="1"/>
  <pivotFields count="12">
    <pivotField showAll="0"/>
    <pivotField numFmtId="166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dataField="1" showAll="0"/>
    <pivotField showAll="0"/>
    <pivotField axis="axisCol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Broj komada proizvoda " fld="4" baseField="0" baseItem="0"/>
  </dataFields>
  <chartFormats count="5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nja@gmail.com" TargetMode="External"/><Relationship Id="rId13" Type="http://schemas.openxmlformats.org/officeDocument/2006/relationships/hyperlink" Target="mailto:tamara@gmail.com" TargetMode="External"/><Relationship Id="rId3" Type="http://schemas.openxmlformats.org/officeDocument/2006/relationships/hyperlink" Target="mailto:nikola@gmail.com" TargetMode="External"/><Relationship Id="rId7" Type="http://schemas.openxmlformats.org/officeDocument/2006/relationships/hyperlink" Target="mailto:natasa@gmail.com" TargetMode="External"/><Relationship Id="rId12" Type="http://schemas.openxmlformats.org/officeDocument/2006/relationships/hyperlink" Target="mailto:ivan@gmail.com" TargetMode="External"/><Relationship Id="rId2" Type="http://schemas.openxmlformats.org/officeDocument/2006/relationships/hyperlink" Target="mailto:ana@gmail.com" TargetMode="External"/><Relationship Id="rId16" Type="http://schemas.openxmlformats.org/officeDocument/2006/relationships/hyperlink" Target="mailto:nina@gmail.com" TargetMode="External"/><Relationship Id="rId1" Type="http://schemas.openxmlformats.org/officeDocument/2006/relationships/hyperlink" Target="mailto:ana@gmail.com" TargetMode="External"/><Relationship Id="rId6" Type="http://schemas.openxmlformats.org/officeDocument/2006/relationships/hyperlink" Target="mailto:jovana@gmail.com" TargetMode="External"/><Relationship Id="rId11" Type="http://schemas.openxmlformats.org/officeDocument/2006/relationships/hyperlink" Target="mailto:marko@gmail.com" TargetMode="External"/><Relationship Id="rId5" Type="http://schemas.openxmlformats.org/officeDocument/2006/relationships/hyperlink" Target="mailto:petar@gmail.com" TargetMode="External"/><Relationship Id="rId15" Type="http://schemas.openxmlformats.org/officeDocument/2006/relationships/hyperlink" Target="mailto:milica@gmail.com" TargetMode="External"/><Relationship Id="rId10" Type="http://schemas.openxmlformats.org/officeDocument/2006/relationships/hyperlink" Target="mailto:nenad@gmail.com" TargetMode="External"/><Relationship Id="rId4" Type="http://schemas.openxmlformats.org/officeDocument/2006/relationships/hyperlink" Target="mailto:ognjen@gmail.com" TargetMode="External"/><Relationship Id="rId9" Type="http://schemas.openxmlformats.org/officeDocument/2006/relationships/hyperlink" Target="mailto:jelena@gmail.com" TargetMode="External"/><Relationship Id="rId14" Type="http://schemas.openxmlformats.org/officeDocument/2006/relationships/hyperlink" Target="mailto:zoran@g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3A3C-4F4F-4766-812C-46ECE0F070F3}">
  <sheetPr>
    <tabColor rgb="FF00B050"/>
  </sheetPr>
  <dimension ref="A1:N30"/>
  <sheetViews>
    <sheetView zoomScale="90" zoomScaleNormal="90" workbookViewId="0">
      <selection activeCell="H24" sqref="H24"/>
    </sheetView>
  </sheetViews>
  <sheetFormatPr defaultRowHeight="14.4"/>
  <cols>
    <col min="1" max="1" width="7.88671875" style="3" customWidth="1"/>
    <col min="2" max="2" width="10.109375" bestFit="1" customWidth="1"/>
    <col min="4" max="4" width="5.6640625" bestFit="1" customWidth="1"/>
    <col min="5" max="5" width="17.44140625" style="22" customWidth="1"/>
    <col min="6" max="6" width="13.88671875" customWidth="1"/>
    <col min="7" max="7" width="13.44140625" customWidth="1"/>
    <col min="8" max="8" width="17.88671875" customWidth="1"/>
    <col min="9" max="9" width="12.6640625" customWidth="1"/>
    <col min="10" max="10" width="17.88671875" customWidth="1"/>
    <col min="11" max="11" width="16.88671875" customWidth="1"/>
    <col min="12" max="12" width="18.5546875" customWidth="1"/>
    <col min="13" max="13" width="11.88671875" bestFit="1" customWidth="1"/>
    <col min="14" max="14" width="14.88671875" customWidth="1"/>
  </cols>
  <sheetData>
    <row r="1" spans="1:14" ht="15" customHeight="1">
      <c r="A1" s="20" t="s">
        <v>0</v>
      </c>
      <c r="B1" s="19" t="s">
        <v>1</v>
      </c>
      <c r="C1" s="19" t="s">
        <v>2</v>
      </c>
      <c r="D1" s="19" t="s">
        <v>3</v>
      </c>
      <c r="E1" s="21" t="s">
        <v>4</v>
      </c>
      <c r="F1" s="19" t="s">
        <v>5</v>
      </c>
      <c r="G1" s="19" t="s">
        <v>6</v>
      </c>
      <c r="H1" s="20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</row>
    <row r="2" spans="1:14">
      <c r="A2" s="5">
        <v>466126</v>
      </c>
      <c r="B2" s="6" t="s">
        <v>14</v>
      </c>
      <c r="C2" s="6" t="s">
        <v>15</v>
      </c>
      <c r="D2" s="5" t="s">
        <v>16</v>
      </c>
      <c r="E2" s="23" t="s">
        <v>17</v>
      </c>
      <c r="F2" s="7">
        <v>5</v>
      </c>
      <c r="G2" s="8">
        <v>44136</v>
      </c>
      <c r="H2" s="5" t="s">
        <v>18</v>
      </c>
      <c r="I2" s="6" t="s">
        <v>19</v>
      </c>
      <c r="J2" s="6">
        <v>2500</v>
      </c>
      <c r="K2" s="6">
        <v>400</v>
      </c>
      <c r="L2" s="6">
        <f>M2-J2-K2</f>
        <v>-134</v>
      </c>
      <c r="M2" s="6">
        <v>2766</v>
      </c>
      <c r="N2" s="9">
        <v>45292</v>
      </c>
    </row>
    <row r="3" spans="1:14">
      <c r="A3" s="5">
        <v>163043</v>
      </c>
      <c r="B3" s="6" t="s">
        <v>20</v>
      </c>
      <c r="C3" s="6" t="s">
        <v>21</v>
      </c>
      <c r="D3" s="5" t="s">
        <v>22</v>
      </c>
      <c r="E3" s="23" t="s">
        <v>23</v>
      </c>
      <c r="F3" s="7">
        <v>6</v>
      </c>
      <c r="G3" s="8">
        <v>43406</v>
      </c>
      <c r="H3" s="5" t="s">
        <v>24</v>
      </c>
      <c r="I3" s="6" t="s">
        <v>25</v>
      </c>
      <c r="J3" s="6">
        <v>2500</v>
      </c>
      <c r="K3" s="6">
        <v>400</v>
      </c>
      <c r="L3" s="6">
        <f t="shared" ref="L3:L16" si="0">M3-J3-K3</f>
        <v>-269</v>
      </c>
      <c r="M3" s="6">
        <v>2631</v>
      </c>
      <c r="N3" s="9">
        <v>45293</v>
      </c>
    </row>
    <row r="4" spans="1:14">
      <c r="A4" s="5">
        <v>688897</v>
      </c>
      <c r="B4" s="6" t="s">
        <v>26</v>
      </c>
      <c r="C4" s="6" t="s">
        <v>27</v>
      </c>
      <c r="D4" s="5" t="s">
        <v>22</v>
      </c>
      <c r="E4" s="23" t="s">
        <v>28</v>
      </c>
      <c r="F4" s="7">
        <v>5</v>
      </c>
      <c r="G4" s="8">
        <v>41946</v>
      </c>
      <c r="H4" s="5" t="s">
        <v>18</v>
      </c>
      <c r="I4" s="6" t="s">
        <v>19</v>
      </c>
      <c r="J4" s="6">
        <v>3000</v>
      </c>
      <c r="K4" s="6">
        <v>300</v>
      </c>
      <c r="L4" s="6">
        <f t="shared" si="0"/>
        <v>-234</v>
      </c>
      <c r="M4" s="6">
        <v>3066</v>
      </c>
      <c r="N4" s="9">
        <v>45294</v>
      </c>
    </row>
    <row r="5" spans="1:14">
      <c r="A5" s="5">
        <v>259126</v>
      </c>
      <c r="B5" s="6" t="s">
        <v>29</v>
      </c>
      <c r="C5" s="6" t="s">
        <v>30</v>
      </c>
      <c r="D5" s="5" t="s">
        <v>22</v>
      </c>
      <c r="E5" s="23" t="s">
        <v>31</v>
      </c>
      <c r="F5" s="7">
        <v>6</v>
      </c>
      <c r="G5" s="8">
        <v>36834</v>
      </c>
      <c r="H5" s="5" t="s">
        <v>24</v>
      </c>
      <c r="I5" s="6" t="s">
        <v>25</v>
      </c>
      <c r="J5" s="6">
        <v>2500</v>
      </c>
      <c r="K5" s="6">
        <v>1000</v>
      </c>
      <c r="L5" s="6">
        <f t="shared" si="0"/>
        <v>0</v>
      </c>
      <c r="M5" s="6">
        <v>3500</v>
      </c>
      <c r="N5" s="9">
        <v>45295</v>
      </c>
    </row>
    <row r="6" spans="1:14">
      <c r="A6" s="5">
        <v>443480</v>
      </c>
      <c r="B6" s="6" t="s">
        <v>32</v>
      </c>
      <c r="C6" s="6" t="s">
        <v>33</v>
      </c>
      <c r="D6" s="5" t="s">
        <v>16</v>
      </c>
      <c r="E6" s="23" t="s">
        <v>34</v>
      </c>
      <c r="F6" s="7">
        <v>4</v>
      </c>
      <c r="G6" s="8">
        <v>37565</v>
      </c>
      <c r="H6" s="5" t="s">
        <v>18</v>
      </c>
      <c r="I6" s="6" t="s">
        <v>19</v>
      </c>
      <c r="J6" s="6">
        <v>4000</v>
      </c>
      <c r="K6" s="6">
        <v>400</v>
      </c>
      <c r="L6" s="6">
        <f t="shared" si="0"/>
        <v>-401</v>
      </c>
      <c r="M6" s="6">
        <v>3999</v>
      </c>
      <c r="N6" s="9">
        <v>45296</v>
      </c>
    </row>
    <row r="7" spans="1:14">
      <c r="A7" s="5">
        <v>673597</v>
      </c>
      <c r="B7" s="6" t="s">
        <v>29</v>
      </c>
      <c r="C7" s="6" t="s">
        <v>35</v>
      </c>
      <c r="D7" s="5" t="s">
        <v>16</v>
      </c>
      <c r="E7" s="23" t="s">
        <v>36</v>
      </c>
      <c r="F7" s="7">
        <v>6</v>
      </c>
      <c r="G7" s="8">
        <v>44141</v>
      </c>
      <c r="H7" s="5" t="s">
        <v>37</v>
      </c>
      <c r="I7" s="6" t="s">
        <v>25</v>
      </c>
      <c r="J7" s="6">
        <v>2500</v>
      </c>
      <c r="K7" s="6">
        <v>0</v>
      </c>
      <c r="L7" s="6">
        <f t="shared" si="0"/>
        <v>-244</v>
      </c>
      <c r="M7" s="6">
        <v>2256</v>
      </c>
      <c r="N7" s="9">
        <v>45297</v>
      </c>
    </row>
    <row r="8" spans="1:14">
      <c r="A8" s="5">
        <v>243994</v>
      </c>
      <c r="B8" s="6" t="s">
        <v>38</v>
      </c>
      <c r="C8" s="6" t="s">
        <v>39</v>
      </c>
      <c r="D8" s="5" t="s">
        <v>16</v>
      </c>
      <c r="E8" s="23" t="s">
        <v>40</v>
      </c>
      <c r="F8" s="7">
        <v>5</v>
      </c>
      <c r="G8" s="8">
        <v>44142</v>
      </c>
      <c r="H8" s="5" t="s">
        <v>18</v>
      </c>
      <c r="I8" s="6" t="s">
        <v>19</v>
      </c>
      <c r="J8" s="6">
        <v>2500</v>
      </c>
      <c r="K8" s="6">
        <v>400</v>
      </c>
      <c r="L8" s="6">
        <f t="shared" si="0"/>
        <v>-79</v>
      </c>
      <c r="M8" s="6">
        <v>2821</v>
      </c>
      <c r="N8" s="9">
        <v>45298</v>
      </c>
    </row>
    <row r="9" spans="1:14">
      <c r="A9" s="5">
        <v>675338</v>
      </c>
      <c r="B9" s="6" t="s">
        <v>32</v>
      </c>
      <c r="C9" s="6" t="s">
        <v>41</v>
      </c>
      <c r="D9" s="5" t="s">
        <v>16</v>
      </c>
      <c r="E9" s="23" t="s">
        <v>42</v>
      </c>
      <c r="F9" s="7">
        <v>6</v>
      </c>
      <c r="G9" s="8">
        <v>43047</v>
      </c>
      <c r="H9" s="5" t="s">
        <v>43</v>
      </c>
      <c r="I9" s="6" t="s">
        <v>25</v>
      </c>
      <c r="J9" s="6">
        <v>2500</v>
      </c>
      <c r="K9" s="6">
        <v>200</v>
      </c>
      <c r="L9" s="6">
        <f t="shared" si="0"/>
        <v>-549</v>
      </c>
      <c r="M9" s="6">
        <v>2151</v>
      </c>
      <c r="N9" s="9">
        <v>45299</v>
      </c>
    </row>
    <row r="10" spans="1:14">
      <c r="A10" s="5">
        <v>171444</v>
      </c>
      <c r="B10" s="6" t="s">
        <v>44</v>
      </c>
      <c r="C10" s="6" t="s">
        <v>45</v>
      </c>
      <c r="D10" s="5" t="s">
        <v>22</v>
      </c>
      <c r="E10" s="23" t="s">
        <v>46</v>
      </c>
      <c r="F10" s="7">
        <v>6</v>
      </c>
      <c r="G10" s="8">
        <v>44874</v>
      </c>
      <c r="H10" s="5" t="s">
        <v>18</v>
      </c>
      <c r="I10" s="6" t="s">
        <v>19</v>
      </c>
      <c r="J10" s="6">
        <v>2500</v>
      </c>
      <c r="K10" s="6">
        <v>0</v>
      </c>
      <c r="L10" s="6">
        <f t="shared" si="0"/>
        <v>-94</v>
      </c>
      <c r="M10" s="6">
        <v>2406</v>
      </c>
      <c r="N10" s="9">
        <v>45300</v>
      </c>
    </row>
    <row r="11" spans="1:14">
      <c r="A11" s="5">
        <v>318820</v>
      </c>
      <c r="B11" s="6" t="s">
        <v>47</v>
      </c>
      <c r="C11" s="6" t="s">
        <v>48</v>
      </c>
      <c r="D11" s="5" t="s">
        <v>22</v>
      </c>
      <c r="E11" s="23" t="s">
        <v>49</v>
      </c>
      <c r="F11" s="7">
        <v>5</v>
      </c>
      <c r="G11" s="8">
        <v>44510</v>
      </c>
      <c r="H11" s="5" t="s">
        <v>50</v>
      </c>
      <c r="I11" s="6" t="s">
        <v>51</v>
      </c>
      <c r="J11" s="6">
        <v>2500</v>
      </c>
      <c r="K11" s="6">
        <v>400</v>
      </c>
      <c r="L11" s="6">
        <f t="shared" si="0"/>
        <v>-427</v>
      </c>
      <c r="M11" s="6">
        <v>2473</v>
      </c>
      <c r="N11" s="9">
        <v>45301</v>
      </c>
    </row>
    <row r="12" spans="1:14">
      <c r="A12" s="5">
        <v>867741</v>
      </c>
      <c r="B12" s="6" t="s">
        <v>52</v>
      </c>
      <c r="C12" s="6" t="s">
        <v>53</v>
      </c>
      <c r="D12" s="5" t="s">
        <v>22</v>
      </c>
      <c r="E12" s="23" t="s">
        <v>54</v>
      </c>
      <c r="F12" s="7">
        <v>6</v>
      </c>
      <c r="G12" s="8">
        <v>44146</v>
      </c>
      <c r="H12" s="5" t="s">
        <v>55</v>
      </c>
      <c r="I12" s="6" t="s">
        <v>51</v>
      </c>
      <c r="J12" s="6">
        <v>4000</v>
      </c>
      <c r="K12" s="6">
        <v>100</v>
      </c>
      <c r="L12" s="6">
        <f t="shared" si="0"/>
        <v>-956</v>
      </c>
      <c r="M12" s="6">
        <v>3144</v>
      </c>
      <c r="N12" s="9">
        <v>45302</v>
      </c>
    </row>
    <row r="13" spans="1:14">
      <c r="A13" s="5">
        <v>550478</v>
      </c>
      <c r="B13" s="6" t="s">
        <v>56</v>
      </c>
      <c r="C13" s="6" t="s">
        <v>57</v>
      </c>
      <c r="D13" s="5" t="s">
        <v>16</v>
      </c>
      <c r="E13" s="23" t="s">
        <v>58</v>
      </c>
      <c r="F13" s="7">
        <v>5</v>
      </c>
      <c r="G13" s="8">
        <v>37572</v>
      </c>
      <c r="H13" s="5" t="s">
        <v>50</v>
      </c>
      <c r="I13" s="6" t="s">
        <v>51</v>
      </c>
      <c r="J13" s="6">
        <v>3800</v>
      </c>
      <c r="K13" s="6">
        <v>0</v>
      </c>
      <c r="L13" s="6">
        <f t="shared" si="0"/>
        <v>0</v>
      </c>
      <c r="M13" s="6">
        <v>3800</v>
      </c>
      <c r="N13" s="9">
        <v>45303</v>
      </c>
    </row>
    <row r="14" spans="1:14">
      <c r="A14" s="5">
        <v>604018</v>
      </c>
      <c r="B14" s="6" t="s">
        <v>59</v>
      </c>
      <c r="C14" s="6" t="s">
        <v>60</v>
      </c>
      <c r="D14" s="5" t="s">
        <v>22</v>
      </c>
      <c r="E14" s="23" t="s">
        <v>61</v>
      </c>
      <c r="F14" s="7">
        <v>4</v>
      </c>
      <c r="G14" s="8">
        <v>40130</v>
      </c>
      <c r="H14" s="5" t="s">
        <v>62</v>
      </c>
      <c r="I14" s="6" t="s">
        <v>19</v>
      </c>
      <c r="J14" s="6">
        <v>2500</v>
      </c>
      <c r="K14" s="6">
        <v>400</v>
      </c>
      <c r="L14" s="6">
        <f t="shared" si="0"/>
        <v>-1047</v>
      </c>
      <c r="M14" s="6">
        <v>1853</v>
      </c>
      <c r="N14" s="9">
        <v>45304</v>
      </c>
    </row>
    <row r="15" spans="1:14">
      <c r="A15" s="5">
        <v>219143</v>
      </c>
      <c r="B15" s="6" t="s">
        <v>63</v>
      </c>
      <c r="C15" s="6" t="s">
        <v>64</v>
      </c>
      <c r="D15" s="5" t="s">
        <v>16</v>
      </c>
      <c r="E15" s="23" t="s">
        <v>65</v>
      </c>
      <c r="F15" s="7">
        <v>6</v>
      </c>
      <c r="G15" s="8">
        <v>45244</v>
      </c>
      <c r="H15" s="5" t="s">
        <v>55</v>
      </c>
      <c r="I15" s="6" t="s">
        <v>51</v>
      </c>
      <c r="J15" s="6">
        <v>2800</v>
      </c>
      <c r="K15" s="6">
        <v>0</v>
      </c>
      <c r="L15" s="6">
        <f t="shared" si="0"/>
        <v>0</v>
      </c>
      <c r="M15" s="6">
        <v>2800</v>
      </c>
      <c r="N15" s="9">
        <v>45305</v>
      </c>
    </row>
    <row r="16" spans="1:14">
      <c r="A16" s="5">
        <v>371111</v>
      </c>
      <c r="B16" s="6" t="s">
        <v>66</v>
      </c>
      <c r="C16" s="6" t="s">
        <v>67</v>
      </c>
      <c r="D16" s="5" t="s">
        <v>16</v>
      </c>
      <c r="E16" s="23" t="s">
        <v>68</v>
      </c>
      <c r="F16" s="7">
        <v>7</v>
      </c>
      <c r="G16" s="8">
        <v>36834</v>
      </c>
      <c r="H16" s="5" t="s">
        <v>69</v>
      </c>
      <c r="I16" s="6" t="s">
        <v>25</v>
      </c>
      <c r="J16" s="6">
        <v>7000</v>
      </c>
      <c r="K16" s="6">
        <v>400</v>
      </c>
      <c r="L16" s="6">
        <f t="shared" si="0"/>
        <v>-989</v>
      </c>
      <c r="M16" s="6">
        <v>6411</v>
      </c>
      <c r="N16" s="9">
        <v>45292</v>
      </c>
    </row>
    <row r="18" spans="5:5">
      <c r="E18"/>
    </row>
    <row r="19" spans="5:5">
      <c r="E19"/>
    </row>
    <row r="20" spans="5:5">
      <c r="E20"/>
    </row>
    <row r="21" spans="5:5">
      <c r="E21"/>
    </row>
    <row r="22" spans="5:5">
      <c r="E22"/>
    </row>
    <row r="23" spans="5:5">
      <c r="E23"/>
    </row>
    <row r="24" spans="5:5">
      <c r="E24"/>
    </row>
    <row r="25" spans="5:5">
      <c r="E25"/>
    </row>
    <row r="26" spans="5:5">
      <c r="E26"/>
    </row>
    <row r="27" spans="5:5">
      <c r="E27"/>
    </row>
    <row r="28" spans="5:5">
      <c r="E28"/>
    </row>
    <row r="29" spans="5:5">
      <c r="E29"/>
    </row>
    <row r="30" spans="5:5">
      <c r="E30"/>
    </row>
  </sheetData>
  <autoFilter ref="A1:N16" xr:uid="{32263A3C-4F4F-4766-812C-46ECE0F070F3}"/>
  <sortState xmlns:xlrd2="http://schemas.microsoft.com/office/spreadsheetml/2017/richdata2" ref="A2:N15">
    <sortCondition ref="A1:A15"/>
  </sortState>
  <phoneticPr fontId="4" type="noConversion"/>
  <hyperlinks>
    <hyperlink ref="E2" r:id="rId1" xr:uid="{6FD71933-A0F5-4011-ACDB-07BB764FED55}"/>
    <hyperlink ref="E3:E15" r:id="rId2" display="ana@gmail.com" xr:uid="{50A1C9AF-E0E6-4B11-AF3F-1967414C736C}"/>
    <hyperlink ref="E3" r:id="rId3" xr:uid="{F2D590AE-AEB9-44EE-A4A1-58B15E4F8838}"/>
    <hyperlink ref="E4" r:id="rId4" xr:uid="{E6AA094F-F41F-4CF5-ABAD-F98E818C2F5A}"/>
    <hyperlink ref="E5" r:id="rId5" xr:uid="{29E8DB96-8434-4E9F-BFCD-C9302BFEAB3C}"/>
    <hyperlink ref="E6" r:id="rId6" xr:uid="{EC484AC6-C276-4A29-9E8B-939811B784B8}"/>
    <hyperlink ref="E7" r:id="rId7" xr:uid="{25F3F4F1-D926-4492-86C2-1935CD18DE53}"/>
    <hyperlink ref="E8" r:id="rId8" xr:uid="{EE6EBE8B-9C44-4854-9954-4BAA518DA3FF}"/>
    <hyperlink ref="E9" r:id="rId9" xr:uid="{F0D39C65-DE7A-4328-9604-E8262C7079D9}"/>
    <hyperlink ref="E10" r:id="rId10" xr:uid="{4028F795-A4C8-4A97-A9F4-AFEC46C30E4C}"/>
    <hyperlink ref="E11" r:id="rId11" xr:uid="{F001A9AC-1E41-407D-9772-F0B06D26AA40}"/>
    <hyperlink ref="E12" r:id="rId12" xr:uid="{5EA153F5-B1E1-421D-95F1-B084F1429312}"/>
    <hyperlink ref="E13" r:id="rId13" xr:uid="{C3BA3606-10CE-4DF0-A95A-77B322E8D55D}"/>
    <hyperlink ref="E14" r:id="rId14" xr:uid="{CBD574B7-324E-46A6-B76F-0AE6F45AF3BA}"/>
    <hyperlink ref="E15" r:id="rId15" xr:uid="{04253273-7FAB-49F6-A782-56C194AFE955}"/>
    <hyperlink ref="E16" r:id="rId16" xr:uid="{645277FE-D4DA-4D92-BB74-E100C43EC50B}"/>
  </hyperlink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FBBC713-717B-43D6-9BEB-7F08858FC38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Zaposleni!M16:M16</xm:f>
              <xm:sqref>N16</xm:sqref>
            </x14:sparkline>
          </x14:sparklines>
        </x14:sparklineGroup>
        <x14:sparklineGroup displayEmptyCellsAs="gap" xr2:uid="{9D7C4166-8B49-476C-8AE4-76273A00702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Zaposleni!M2:M2</xm:f>
              <xm:sqref>N2</xm:sqref>
            </x14:sparkline>
            <x14:sparkline>
              <xm:f>Zaposleni!M3:M3</xm:f>
              <xm:sqref>N3</xm:sqref>
            </x14:sparkline>
            <x14:sparkline>
              <xm:f>Zaposleni!M4:M4</xm:f>
              <xm:sqref>N4</xm:sqref>
            </x14:sparkline>
            <x14:sparkline>
              <xm:f>Zaposleni!M5:M5</xm:f>
              <xm:sqref>N5</xm:sqref>
            </x14:sparkline>
            <x14:sparkline>
              <xm:f>Zaposleni!M6:M6</xm:f>
              <xm:sqref>N6</xm:sqref>
            </x14:sparkline>
            <x14:sparkline>
              <xm:f>Zaposleni!M7:M7</xm:f>
              <xm:sqref>N7</xm:sqref>
            </x14:sparkline>
            <x14:sparkline>
              <xm:f>Zaposleni!M8:M8</xm:f>
              <xm:sqref>N8</xm:sqref>
            </x14:sparkline>
            <x14:sparkline>
              <xm:f>Zaposleni!M9:M9</xm:f>
              <xm:sqref>N9</xm:sqref>
            </x14:sparkline>
            <x14:sparkline>
              <xm:f>Zaposleni!M10:M10</xm:f>
              <xm:sqref>N10</xm:sqref>
            </x14:sparkline>
            <x14:sparkline>
              <xm:f>Zaposleni!M11:M11</xm:f>
              <xm:sqref>N11</xm:sqref>
            </x14:sparkline>
            <x14:sparkline>
              <xm:f>Zaposleni!M12:M12</xm:f>
              <xm:sqref>N12</xm:sqref>
            </x14:sparkline>
            <x14:sparkline>
              <xm:f>Zaposleni!M13:M13</xm:f>
              <xm:sqref>N13</xm:sqref>
            </x14:sparkline>
            <x14:sparkline>
              <xm:f>Zaposleni!M14:M14</xm:f>
              <xm:sqref>N14</xm:sqref>
            </x14:sparkline>
            <x14:sparkline>
              <xm:f>Zaposleni!M15:M15</xm:f>
              <xm:sqref>N15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F8600-DDE6-43BD-94EF-0CD70387B35C}">
  <sheetPr>
    <tabColor rgb="FF7030A0"/>
  </sheetPr>
  <dimension ref="A1:F11"/>
  <sheetViews>
    <sheetView workbookViewId="0">
      <selection activeCell="C2" sqref="C2"/>
    </sheetView>
  </sheetViews>
  <sheetFormatPr defaultRowHeight="14.4"/>
  <cols>
    <col min="1" max="1" width="3.88671875" bestFit="1" customWidth="1"/>
    <col min="2" max="2" width="20.109375" bestFit="1" customWidth="1"/>
    <col min="3" max="3" width="23" bestFit="1" customWidth="1"/>
    <col min="4" max="4" width="11.44140625" style="3" bestFit="1" customWidth="1"/>
    <col min="5" max="5" width="16" bestFit="1" customWidth="1"/>
    <col min="6" max="6" width="14.44140625" bestFit="1" customWidth="1"/>
  </cols>
  <sheetData>
    <row r="1" spans="1:6">
      <c r="A1" s="18" t="s">
        <v>0</v>
      </c>
      <c r="B1" s="18" t="s">
        <v>109</v>
      </c>
      <c r="C1" s="19" t="s">
        <v>110</v>
      </c>
      <c r="D1" s="25" t="s">
        <v>111</v>
      </c>
      <c r="E1" s="18" t="s">
        <v>112</v>
      </c>
      <c r="F1" s="18" t="s">
        <v>113</v>
      </c>
    </row>
    <row r="2" spans="1:6">
      <c r="A2" s="6">
        <v>108</v>
      </c>
      <c r="B2" s="6" t="s">
        <v>114</v>
      </c>
      <c r="C2" s="24" t="s">
        <v>115</v>
      </c>
      <c r="D2" s="5" t="s">
        <v>116</v>
      </c>
      <c r="E2" s="8">
        <v>38294</v>
      </c>
      <c r="F2" s="6">
        <v>16006180</v>
      </c>
    </row>
    <row r="3" spans="1:6">
      <c r="A3" s="6">
        <v>127</v>
      </c>
      <c r="B3" s="6" t="s">
        <v>117</v>
      </c>
      <c r="C3" s="24" t="s">
        <v>118</v>
      </c>
      <c r="D3" s="5" t="s">
        <v>116</v>
      </c>
      <c r="E3" s="8">
        <v>36620</v>
      </c>
      <c r="F3" s="6">
        <v>15172330</v>
      </c>
    </row>
    <row r="4" spans="1:6">
      <c r="A4" s="6">
        <v>151</v>
      </c>
      <c r="B4" s="6" t="s">
        <v>119</v>
      </c>
      <c r="C4" s="24" t="s">
        <v>120</v>
      </c>
      <c r="D4" s="5" t="s">
        <v>116</v>
      </c>
      <c r="E4" s="8">
        <v>36560</v>
      </c>
      <c r="F4" s="6">
        <v>11816270</v>
      </c>
    </row>
    <row r="5" spans="1:6">
      <c r="A5" s="6">
        <v>152</v>
      </c>
      <c r="B5" s="6" t="s">
        <v>121</v>
      </c>
      <c r="C5" s="24" t="s">
        <v>120</v>
      </c>
      <c r="D5" s="5" t="s">
        <v>116</v>
      </c>
      <c r="E5" s="8">
        <v>36467</v>
      </c>
      <c r="F5" s="6">
        <v>18063330</v>
      </c>
    </row>
    <row r="6" spans="1:6">
      <c r="A6" s="6">
        <v>153</v>
      </c>
      <c r="B6" s="6" t="s">
        <v>122</v>
      </c>
      <c r="C6" s="24" t="s">
        <v>123</v>
      </c>
      <c r="D6" s="5" t="s">
        <v>124</v>
      </c>
      <c r="E6" s="8">
        <v>33241</v>
      </c>
      <c r="F6" s="6">
        <v>17348560</v>
      </c>
    </row>
    <row r="7" spans="1:6">
      <c r="A7" s="6">
        <v>157</v>
      </c>
      <c r="B7" s="6" t="s">
        <v>125</v>
      </c>
      <c r="C7" s="24" t="s">
        <v>126</v>
      </c>
      <c r="D7" s="5" t="s">
        <v>116</v>
      </c>
      <c r="E7" s="8">
        <v>37199</v>
      </c>
      <c r="F7" s="6">
        <v>19179680</v>
      </c>
    </row>
    <row r="8" spans="1:6">
      <c r="A8" s="6">
        <v>163</v>
      </c>
      <c r="B8" s="6" t="s">
        <v>127</v>
      </c>
      <c r="C8" s="24" t="s">
        <v>128</v>
      </c>
      <c r="D8" s="5" t="s">
        <v>116</v>
      </c>
      <c r="E8" s="8">
        <v>37504</v>
      </c>
      <c r="F8" s="6">
        <v>10288340</v>
      </c>
    </row>
    <row r="9" spans="1:6">
      <c r="A9" s="6">
        <v>179</v>
      </c>
      <c r="B9" s="6" t="s">
        <v>129</v>
      </c>
      <c r="C9" s="24" t="s">
        <v>130</v>
      </c>
      <c r="D9" s="5" t="s">
        <v>116</v>
      </c>
      <c r="E9" s="8">
        <v>38294</v>
      </c>
      <c r="F9" s="6">
        <v>17330920</v>
      </c>
    </row>
    <row r="10" spans="1:6">
      <c r="A10" s="6">
        <v>186</v>
      </c>
      <c r="B10" s="6" t="s">
        <v>131</v>
      </c>
      <c r="C10" s="24" t="s">
        <v>115</v>
      </c>
      <c r="D10" s="5" t="s">
        <v>116</v>
      </c>
      <c r="E10" s="8">
        <v>41126</v>
      </c>
      <c r="F10" s="6">
        <v>19003290</v>
      </c>
    </row>
    <row r="11" spans="1:6">
      <c r="A11" s="6">
        <v>195</v>
      </c>
      <c r="B11" s="6" t="s">
        <v>132</v>
      </c>
      <c r="C11" s="24" t="s">
        <v>120</v>
      </c>
      <c r="D11" s="5" t="s">
        <v>124</v>
      </c>
      <c r="E11" s="8">
        <v>31813</v>
      </c>
      <c r="F11" s="6">
        <v>18198780</v>
      </c>
    </row>
  </sheetData>
  <autoFilter ref="A1:F1" xr:uid="{584F8600-DDE6-43BD-94EF-0CD70387B35C}">
    <sortState xmlns:xlrd2="http://schemas.microsoft.com/office/spreadsheetml/2017/richdata2" ref="A2:F11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62508-2415-4D2B-A4C2-1232B476258E}">
  <sheetPr>
    <tabColor rgb="FF00B0F0"/>
  </sheetPr>
  <dimension ref="A1:K33"/>
  <sheetViews>
    <sheetView workbookViewId="0">
      <selection activeCell="D21" sqref="D21"/>
    </sheetView>
  </sheetViews>
  <sheetFormatPr defaultRowHeight="14.4"/>
  <cols>
    <col min="1" max="1" width="7.109375" bestFit="1" customWidth="1"/>
    <col min="2" max="2" width="24.33203125" bestFit="1" customWidth="1"/>
    <col min="3" max="3" width="17.109375" bestFit="1" customWidth="1"/>
    <col min="4" max="4" width="17.44140625" bestFit="1" customWidth="1"/>
    <col min="5" max="5" width="19.88671875" bestFit="1" customWidth="1"/>
    <col min="6" max="6" width="20.44140625" bestFit="1" customWidth="1"/>
    <col min="8" max="8" width="15.88671875" bestFit="1" customWidth="1"/>
    <col min="9" max="9" width="6.88671875" bestFit="1" customWidth="1"/>
    <col min="12" max="12" width="16.5546875" bestFit="1" customWidth="1"/>
  </cols>
  <sheetData>
    <row r="1" spans="1:11">
      <c r="A1" s="18" t="s">
        <v>70</v>
      </c>
      <c r="B1" s="18" t="s">
        <v>71</v>
      </c>
      <c r="C1" s="18" t="s">
        <v>72</v>
      </c>
      <c r="D1" s="18" t="s">
        <v>73</v>
      </c>
      <c r="E1" s="18" t="s">
        <v>74</v>
      </c>
      <c r="F1" s="18" t="s">
        <v>75</v>
      </c>
      <c r="G1" s="10"/>
      <c r="H1" s="10"/>
      <c r="I1" s="10"/>
      <c r="J1" s="10"/>
      <c r="K1" s="10"/>
    </row>
    <row r="2" spans="1:11">
      <c r="A2" s="6" t="s">
        <v>76</v>
      </c>
      <c r="B2" s="6" t="s">
        <v>77</v>
      </c>
      <c r="C2" s="6" t="s">
        <v>78</v>
      </c>
      <c r="D2" s="29">
        <v>1640</v>
      </c>
      <c r="E2" s="29">
        <v>2083</v>
      </c>
      <c r="F2" s="29">
        <v>2333</v>
      </c>
      <c r="G2" s="10"/>
      <c r="H2" s="10"/>
      <c r="I2" s="10"/>
      <c r="J2" s="11"/>
    </row>
    <row r="3" spans="1:11">
      <c r="A3" s="6" t="s">
        <v>79</v>
      </c>
      <c r="B3" s="6" t="s">
        <v>80</v>
      </c>
      <c r="C3" s="6" t="s">
        <v>81</v>
      </c>
      <c r="D3" s="29">
        <v>1877</v>
      </c>
      <c r="E3" s="29">
        <v>2460</v>
      </c>
      <c r="F3" s="29">
        <v>2560</v>
      </c>
      <c r="G3" s="10"/>
      <c r="H3" s="10"/>
      <c r="I3" s="10"/>
      <c r="J3" s="11"/>
    </row>
    <row r="4" spans="1:11">
      <c r="A4" s="6" t="s">
        <v>82</v>
      </c>
      <c r="B4" s="6" t="s">
        <v>77</v>
      </c>
      <c r="C4" s="6" t="s">
        <v>83</v>
      </c>
      <c r="D4" s="29">
        <v>1785</v>
      </c>
      <c r="E4" s="29">
        <v>2105</v>
      </c>
      <c r="F4" s="29">
        <v>2335</v>
      </c>
      <c r="G4" s="10"/>
      <c r="H4" s="10"/>
      <c r="I4" s="10"/>
      <c r="J4" s="10"/>
      <c r="K4" s="10"/>
    </row>
    <row r="5" spans="1:11">
      <c r="A5" s="6" t="s">
        <v>84</v>
      </c>
      <c r="B5" s="6" t="s">
        <v>85</v>
      </c>
      <c r="C5" s="6" t="s">
        <v>86</v>
      </c>
      <c r="D5" s="29">
        <v>960</v>
      </c>
      <c r="E5" s="29">
        <v>1129</v>
      </c>
      <c r="F5" s="29">
        <v>1500</v>
      </c>
      <c r="G5" s="10"/>
      <c r="H5" s="10"/>
      <c r="I5" s="10"/>
      <c r="J5" s="11"/>
    </row>
    <row r="6" spans="1:11">
      <c r="A6" s="6" t="s">
        <v>87</v>
      </c>
      <c r="B6" s="6" t="s">
        <v>77</v>
      </c>
      <c r="C6" s="6" t="s">
        <v>88</v>
      </c>
      <c r="D6" s="29">
        <v>2812</v>
      </c>
      <c r="E6" s="29">
        <v>3741</v>
      </c>
      <c r="F6" s="29">
        <v>3888</v>
      </c>
      <c r="G6" s="10"/>
      <c r="H6" s="10"/>
      <c r="I6" s="10"/>
      <c r="J6" s="11"/>
    </row>
    <row r="7" spans="1:11">
      <c r="A7" s="6" t="s">
        <v>89</v>
      </c>
      <c r="B7" s="6" t="s">
        <v>77</v>
      </c>
      <c r="C7" s="6" t="s">
        <v>90</v>
      </c>
      <c r="D7" s="29">
        <v>1001</v>
      </c>
      <c r="E7" s="29">
        <v>1543</v>
      </c>
      <c r="F7" s="29">
        <v>1763</v>
      </c>
      <c r="G7" s="10"/>
      <c r="H7" s="10"/>
      <c r="I7" s="10"/>
      <c r="J7" s="11"/>
    </row>
    <row r="8" spans="1:11">
      <c r="A8" s="6" t="s">
        <v>91</v>
      </c>
      <c r="B8" s="6" t="s">
        <v>77</v>
      </c>
      <c r="C8" s="6" t="s">
        <v>92</v>
      </c>
      <c r="D8" s="29">
        <v>900</v>
      </c>
      <c r="E8" s="29">
        <v>1084</v>
      </c>
      <c r="F8" s="29">
        <v>1384</v>
      </c>
      <c r="G8" s="10"/>
      <c r="H8" s="10"/>
      <c r="I8" s="10"/>
      <c r="J8" s="11"/>
    </row>
    <row r="9" spans="1:11">
      <c r="A9" s="6" t="s">
        <v>93</v>
      </c>
      <c r="B9" s="6" t="s">
        <v>77</v>
      </c>
      <c r="C9" s="6" t="s">
        <v>94</v>
      </c>
      <c r="D9" s="29">
        <v>984</v>
      </c>
      <c r="E9" s="29">
        <v>1731</v>
      </c>
      <c r="F9" s="29">
        <v>1931</v>
      </c>
      <c r="G9" s="10"/>
      <c r="H9" s="10"/>
      <c r="I9" s="10"/>
      <c r="J9" s="11"/>
    </row>
    <row r="10" spans="1:11">
      <c r="A10" s="6" t="s">
        <v>95</v>
      </c>
      <c r="B10" s="6" t="s">
        <v>96</v>
      </c>
      <c r="C10" s="6" t="s">
        <v>97</v>
      </c>
      <c r="D10" s="29">
        <v>1513</v>
      </c>
      <c r="E10" s="29">
        <v>1930</v>
      </c>
      <c r="F10" s="29">
        <v>2000</v>
      </c>
      <c r="G10" s="10"/>
      <c r="H10" s="10"/>
      <c r="I10" s="10"/>
      <c r="J10" s="11"/>
    </row>
    <row r="11" spans="1:11">
      <c r="A11" s="6" t="s">
        <v>98</v>
      </c>
      <c r="B11" s="6" t="s">
        <v>77</v>
      </c>
      <c r="C11" s="6" t="s">
        <v>99</v>
      </c>
      <c r="D11" s="29">
        <v>2963</v>
      </c>
      <c r="E11" s="29">
        <v>3648</v>
      </c>
      <c r="F11" s="29">
        <v>3900</v>
      </c>
      <c r="G11" s="10"/>
      <c r="H11" s="10"/>
      <c r="I11" s="10"/>
      <c r="J11" s="11"/>
    </row>
    <row r="12" spans="1:11">
      <c r="A12" s="6" t="s">
        <v>100</v>
      </c>
      <c r="B12" s="6" t="s">
        <v>101</v>
      </c>
      <c r="C12" s="6" t="s">
        <v>102</v>
      </c>
      <c r="D12" s="29">
        <v>1704</v>
      </c>
      <c r="E12" s="29">
        <v>2410</v>
      </c>
      <c r="F12" s="29">
        <v>2660</v>
      </c>
      <c r="G12" s="10"/>
      <c r="H12" s="10"/>
      <c r="I12" s="10"/>
      <c r="J12" s="11"/>
    </row>
    <row r="13" spans="1:11">
      <c r="A13" s="6" t="s">
        <v>103</v>
      </c>
      <c r="B13" s="6" t="s">
        <v>77</v>
      </c>
      <c r="C13" s="6" t="s">
        <v>104</v>
      </c>
      <c r="D13" s="29">
        <v>1942</v>
      </c>
      <c r="E13" s="29">
        <v>2595</v>
      </c>
      <c r="F13" s="29">
        <v>2900</v>
      </c>
      <c r="G13" s="10"/>
      <c r="H13" s="10"/>
      <c r="I13" s="10"/>
      <c r="J13" s="11"/>
    </row>
    <row r="14" spans="1:11">
      <c r="A14" s="6" t="s">
        <v>105</v>
      </c>
      <c r="B14" s="6" t="s">
        <v>101</v>
      </c>
      <c r="C14" s="6" t="s">
        <v>106</v>
      </c>
      <c r="D14" s="29">
        <v>1888</v>
      </c>
      <c r="E14" s="29">
        <v>3740</v>
      </c>
      <c r="F14" s="29">
        <v>3940</v>
      </c>
      <c r="G14" s="10"/>
      <c r="H14" s="10"/>
      <c r="I14" s="10"/>
      <c r="J14" s="11"/>
    </row>
    <row r="15" spans="1:11">
      <c r="A15" s="6" t="s">
        <v>107</v>
      </c>
      <c r="B15" s="6" t="s">
        <v>80</v>
      </c>
      <c r="C15" s="6" t="s">
        <v>108</v>
      </c>
      <c r="D15" s="29">
        <v>1966</v>
      </c>
      <c r="E15" s="29">
        <v>2387</v>
      </c>
      <c r="F15" s="29">
        <v>2600</v>
      </c>
      <c r="G15" s="10"/>
      <c r="H15" s="10"/>
      <c r="I15" s="10"/>
      <c r="J15" s="11"/>
    </row>
    <row r="16" spans="1:11">
      <c r="C16" s="4"/>
      <c r="F16" s="11"/>
      <c r="G16" s="11"/>
      <c r="H16" s="11"/>
      <c r="I16" s="11"/>
      <c r="J16" s="11"/>
    </row>
    <row r="17" spans="1:5">
      <c r="C17" s="4"/>
    </row>
    <row r="18" spans="1:5">
      <c r="A18" s="1"/>
      <c r="B18" s="1"/>
      <c r="D18" s="1"/>
      <c r="E18" s="1"/>
    </row>
    <row r="20" spans="1:5" ht="19.2">
      <c r="C20" s="2"/>
    </row>
    <row r="21" spans="1:5" ht="19.2">
      <c r="C21" s="2"/>
    </row>
    <row r="22" spans="1:5" ht="19.2">
      <c r="C22" s="2"/>
    </row>
    <row r="23" spans="1:5" ht="19.2">
      <c r="C23" s="2"/>
    </row>
    <row r="24" spans="1:5" ht="19.2">
      <c r="C24" s="2"/>
    </row>
    <row r="25" spans="1:5" ht="19.2">
      <c r="C25" s="2"/>
    </row>
    <row r="29" spans="1:5">
      <c r="C29" s="4"/>
    </row>
    <row r="30" spans="1:5">
      <c r="C30" s="4"/>
    </row>
    <row r="31" spans="1:5">
      <c r="C31" s="4"/>
    </row>
    <row r="32" spans="1:5">
      <c r="C32" s="4"/>
    </row>
    <row r="33" spans="3:3">
      <c r="C33" s="4"/>
    </row>
  </sheetData>
  <autoFilter ref="A1:K1" xr:uid="{94762508-2415-4D2B-A4C2-1232B476258E}">
    <sortState xmlns:xlrd2="http://schemas.microsoft.com/office/spreadsheetml/2017/richdata2" ref="A2:K15">
      <sortCondition ref="A1"/>
    </sortState>
  </autoFilter>
  <conditionalFormatting sqref="D1:F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D8577-EA63-482A-A2C7-E407101BE567}">
  <sheetPr>
    <tabColor rgb="FFFFFF00"/>
  </sheetPr>
  <dimension ref="A1:F382"/>
  <sheetViews>
    <sheetView zoomScaleNormal="100" workbookViewId="0">
      <selection activeCell="C2" sqref="C2"/>
    </sheetView>
  </sheetViews>
  <sheetFormatPr defaultRowHeight="14.4"/>
  <cols>
    <col min="1" max="1" width="9.109375" style="3" bestFit="1" customWidth="1"/>
    <col min="2" max="2" width="15.6640625" style="13" customWidth="1"/>
    <col min="3" max="3" width="13.44140625" style="3" bestFit="1" customWidth="1"/>
    <col min="4" max="4" width="19.109375" style="3" customWidth="1"/>
    <col min="5" max="5" width="20.6640625" style="3" bestFit="1" customWidth="1"/>
    <col min="6" max="6" width="10.5546875" bestFit="1" customWidth="1"/>
  </cols>
  <sheetData>
    <row r="1" spans="1:6">
      <c r="A1" s="15" t="s">
        <v>133</v>
      </c>
      <c r="B1" s="14" t="s">
        <v>134</v>
      </c>
      <c r="C1" s="16" t="s">
        <v>135</v>
      </c>
      <c r="D1" s="17" t="s">
        <v>136</v>
      </c>
      <c r="E1" s="17" t="s">
        <v>137</v>
      </c>
      <c r="F1" s="27" t="s">
        <v>138</v>
      </c>
    </row>
    <row r="2" spans="1:6">
      <c r="A2" s="5">
        <v>195</v>
      </c>
      <c r="B2" s="12">
        <v>45307</v>
      </c>
      <c r="C2" s="5">
        <v>466126</v>
      </c>
      <c r="D2" s="5" t="s">
        <v>87</v>
      </c>
      <c r="E2" s="5">
        <v>29</v>
      </c>
      <c r="F2" s="28" t="s">
        <v>139</v>
      </c>
    </row>
    <row r="3" spans="1:6">
      <c r="A3" s="5">
        <v>153</v>
      </c>
      <c r="B3" s="12">
        <v>45308</v>
      </c>
      <c r="C3" s="5">
        <v>443480</v>
      </c>
      <c r="D3" s="5" t="s">
        <v>95</v>
      </c>
      <c r="E3" s="5">
        <v>7</v>
      </c>
      <c r="F3" s="28" t="s">
        <v>140</v>
      </c>
    </row>
    <row r="4" spans="1:6">
      <c r="A4" s="5">
        <v>153</v>
      </c>
      <c r="B4" s="12">
        <v>45361</v>
      </c>
      <c r="C4" s="5">
        <v>688897</v>
      </c>
      <c r="D4" s="5" t="s">
        <v>93</v>
      </c>
      <c r="E4" s="5">
        <v>12</v>
      </c>
      <c r="F4" s="28" t="s">
        <v>141</v>
      </c>
    </row>
    <row r="5" spans="1:6">
      <c r="A5" s="5">
        <v>153</v>
      </c>
      <c r="B5" s="12">
        <v>45363</v>
      </c>
      <c r="C5" s="5">
        <v>688897</v>
      </c>
      <c r="D5" s="5" t="s">
        <v>89</v>
      </c>
      <c r="E5" s="5">
        <v>34</v>
      </c>
      <c r="F5" s="28" t="s">
        <v>142</v>
      </c>
    </row>
    <row r="6" spans="1:6">
      <c r="A6" s="5">
        <v>108</v>
      </c>
      <c r="B6" s="12">
        <v>45321</v>
      </c>
      <c r="C6" s="5">
        <v>466126</v>
      </c>
      <c r="D6" s="5" t="s">
        <v>107</v>
      </c>
      <c r="E6" s="5">
        <v>34</v>
      </c>
      <c r="F6" s="28" t="s">
        <v>143</v>
      </c>
    </row>
    <row r="7" spans="1:6">
      <c r="A7" s="5">
        <v>151</v>
      </c>
      <c r="B7" s="12">
        <v>45336</v>
      </c>
      <c r="C7" s="5">
        <v>443480</v>
      </c>
      <c r="D7" s="5" t="s">
        <v>87</v>
      </c>
      <c r="E7" s="5">
        <v>41</v>
      </c>
      <c r="F7" s="28" t="s">
        <v>144</v>
      </c>
    </row>
    <row r="8" spans="1:6">
      <c r="A8" s="5">
        <v>186</v>
      </c>
      <c r="B8" s="12">
        <v>45328</v>
      </c>
      <c r="C8" s="5">
        <v>243994</v>
      </c>
      <c r="D8" s="5" t="s">
        <v>89</v>
      </c>
      <c r="E8" s="5">
        <v>26</v>
      </c>
      <c r="F8" s="28" t="s">
        <v>145</v>
      </c>
    </row>
    <row r="9" spans="1:6">
      <c r="A9" s="5">
        <v>179</v>
      </c>
      <c r="B9" s="12">
        <v>45315</v>
      </c>
      <c r="C9" s="5">
        <v>243994</v>
      </c>
      <c r="D9" s="5" t="s">
        <v>91</v>
      </c>
      <c r="E9" s="5">
        <v>12</v>
      </c>
      <c r="F9" s="28" t="s">
        <v>146</v>
      </c>
    </row>
    <row r="10" spans="1:6">
      <c r="A10" s="5">
        <v>151</v>
      </c>
      <c r="B10" s="12">
        <v>45328</v>
      </c>
      <c r="C10" s="5">
        <v>443480</v>
      </c>
      <c r="D10" s="5" t="s">
        <v>76</v>
      </c>
      <c r="E10" s="5">
        <v>49</v>
      </c>
      <c r="F10" s="28" t="s">
        <v>147</v>
      </c>
    </row>
    <row r="11" spans="1:6">
      <c r="A11" s="5">
        <v>151</v>
      </c>
      <c r="B11" s="12">
        <v>45310</v>
      </c>
      <c r="C11" s="5">
        <v>443480</v>
      </c>
      <c r="D11" s="5" t="s">
        <v>103</v>
      </c>
      <c r="E11" s="5">
        <v>41</v>
      </c>
      <c r="F11" s="28" t="s">
        <v>148</v>
      </c>
    </row>
    <row r="12" spans="1:6">
      <c r="A12" s="5">
        <v>163</v>
      </c>
      <c r="B12" s="12">
        <v>45347</v>
      </c>
      <c r="C12" s="5">
        <v>443480</v>
      </c>
      <c r="D12" s="5" t="s">
        <v>82</v>
      </c>
      <c r="E12" s="5">
        <v>36</v>
      </c>
      <c r="F12" s="28" t="s">
        <v>149</v>
      </c>
    </row>
    <row r="13" spans="1:6">
      <c r="A13" s="5">
        <v>153</v>
      </c>
      <c r="B13" s="12">
        <v>45353</v>
      </c>
      <c r="C13" s="5">
        <v>688897</v>
      </c>
      <c r="D13" s="5" t="s">
        <v>84</v>
      </c>
      <c r="E13" s="5">
        <v>5</v>
      </c>
      <c r="F13" s="28" t="s">
        <v>150</v>
      </c>
    </row>
    <row r="14" spans="1:6">
      <c r="A14" s="5">
        <v>151</v>
      </c>
      <c r="B14" s="12">
        <v>45301</v>
      </c>
      <c r="C14" s="5">
        <v>243994</v>
      </c>
      <c r="D14" s="5" t="s">
        <v>91</v>
      </c>
      <c r="E14" s="5">
        <v>33</v>
      </c>
      <c r="F14" s="28" t="s">
        <v>151</v>
      </c>
    </row>
    <row r="15" spans="1:6">
      <c r="A15" s="5">
        <v>152</v>
      </c>
      <c r="B15" s="12">
        <v>45330</v>
      </c>
      <c r="C15" s="5">
        <v>171444</v>
      </c>
      <c r="D15" s="5" t="s">
        <v>87</v>
      </c>
      <c r="E15" s="5">
        <v>46</v>
      </c>
      <c r="F15" s="28" t="s">
        <v>152</v>
      </c>
    </row>
    <row r="16" spans="1:6">
      <c r="A16" s="5">
        <v>108</v>
      </c>
      <c r="B16" s="12">
        <v>45373</v>
      </c>
      <c r="C16" s="5">
        <v>466126</v>
      </c>
      <c r="D16" s="5" t="s">
        <v>93</v>
      </c>
      <c r="E16" s="5">
        <v>2</v>
      </c>
      <c r="F16" s="28" t="s">
        <v>153</v>
      </c>
    </row>
    <row r="17" spans="1:6">
      <c r="A17" s="5">
        <v>108</v>
      </c>
      <c r="B17" s="12">
        <v>45373</v>
      </c>
      <c r="C17" s="5">
        <v>466126</v>
      </c>
      <c r="D17" s="5" t="s">
        <v>93</v>
      </c>
      <c r="E17" s="5">
        <v>31</v>
      </c>
      <c r="F17" s="28" t="s">
        <v>154</v>
      </c>
    </row>
    <row r="18" spans="1:6">
      <c r="A18" s="5">
        <v>127</v>
      </c>
      <c r="B18" s="12">
        <v>45363</v>
      </c>
      <c r="C18" s="5">
        <v>171444</v>
      </c>
      <c r="D18" s="5" t="s">
        <v>82</v>
      </c>
      <c r="E18" s="5">
        <v>21</v>
      </c>
      <c r="F18" s="28" t="s">
        <v>155</v>
      </c>
    </row>
    <row r="19" spans="1:6">
      <c r="A19" s="5">
        <v>179</v>
      </c>
      <c r="B19" s="12">
        <v>45379</v>
      </c>
      <c r="C19" s="5">
        <v>243994</v>
      </c>
      <c r="D19" s="5" t="s">
        <v>103</v>
      </c>
      <c r="E19" s="5">
        <v>23</v>
      </c>
      <c r="F19" s="28" t="s">
        <v>156</v>
      </c>
    </row>
    <row r="20" spans="1:6">
      <c r="A20" s="5">
        <v>157</v>
      </c>
      <c r="B20" s="12">
        <v>45349</v>
      </c>
      <c r="C20" s="5">
        <v>688897</v>
      </c>
      <c r="D20" s="5" t="s">
        <v>91</v>
      </c>
      <c r="E20" s="5">
        <v>19</v>
      </c>
      <c r="F20" s="28" t="s">
        <v>157</v>
      </c>
    </row>
    <row r="21" spans="1:6">
      <c r="A21" s="5">
        <v>163</v>
      </c>
      <c r="B21" s="12">
        <v>45329</v>
      </c>
      <c r="C21" s="5">
        <v>443480</v>
      </c>
      <c r="D21" s="5" t="s">
        <v>93</v>
      </c>
      <c r="E21" s="5">
        <v>49</v>
      </c>
      <c r="F21" s="28" t="s">
        <v>158</v>
      </c>
    </row>
    <row r="22" spans="1:6">
      <c r="A22" s="5">
        <v>186</v>
      </c>
      <c r="B22" s="12">
        <v>45310</v>
      </c>
      <c r="C22" s="5">
        <v>243994</v>
      </c>
      <c r="D22" s="5" t="s">
        <v>89</v>
      </c>
      <c r="E22" s="5">
        <v>31</v>
      </c>
      <c r="F22" s="28" t="s">
        <v>159</v>
      </c>
    </row>
    <row r="23" spans="1:6">
      <c r="A23" s="5">
        <v>186</v>
      </c>
      <c r="B23" s="12">
        <v>45375</v>
      </c>
      <c r="C23" s="5">
        <v>243994</v>
      </c>
      <c r="D23" s="5" t="s">
        <v>93</v>
      </c>
      <c r="E23" s="5">
        <v>28</v>
      </c>
      <c r="F23" s="28" t="s">
        <v>160</v>
      </c>
    </row>
    <row r="24" spans="1:6">
      <c r="A24" s="5">
        <v>151</v>
      </c>
      <c r="B24" s="12">
        <v>45328</v>
      </c>
      <c r="C24" s="5">
        <v>243994</v>
      </c>
      <c r="D24" s="5" t="s">
        <v>100</v>
      </c>
      <c r="E24" s="5">
        <v>43</v>
      </c>
      <c r="F24" s="28" t="s">
        <v>161</v>
      </c>
    </row>
    <row r="25" spans="1:6">
      <c r="A25" s="5">
        <v>152</v>
      </c>
      <c r="B25" s="12">
        <v>45320</v>
      </c>
      <c r="C25" s="5">
        <v>171444</v>
      </c>
      <c r="D25" s="5" t="s">
        <v>100</v>
      </c>
      <c r="E25" s="5">
        <v>8</v>
      </c>
      <c r="F25" s="28" t="s">
        <v>162</v>
      </c>
    </row>
    <row r="26" spans="1:6">
      <c r="A26" s="5">
        <v>163</v>
      </c>
      <c r="B26" s="12">
        <v>45310</v>
      </c>
      <c r="C26" s="5">
        <v>443480</v>
      </c>
      <c r="D26" s="5" t="s">
        <v>82</v>
      </c>
      <c r="E26" s="5">
        <v>47</v>
      </c>
      <c r="F26" s="28" t="s">
        <v>163</v>
      </c>
    </row>
    <row r="27" spans="1:6">
      <c r="A27" s="5">
        <v>179</v>
      </c>
      <c r="B27" s="12">
        <v>45370</v>
      </c>
      <c r="C27" s="5">
        <v>243994</v>
      </c>
      <c r="D27" s="5" t="s">
        <v>79</v>
      </c>
      <c r="E27" s="5">
        <v>50</v>
      </c>
      <c r="F27" s="28" t="s">
        <v>164</v>
      </c>
    </row>
    <row r="28" spans="1:6">
      <c r="A28" s="5">
        <v>179</v>
      </c>
      <c r="B28" s="12">
        <v>45303</v>
      </c>
      <c r="C28" s="5">
        <v>243994</v>
      </c>
      <c r="D28" s="5" t="s">
        <v>79</v>
      </c>
      <c r="E28" s="5">
        <v>26</v>
      </c>
      <c r="F28" s="28" t="s">
        <v>165</v>
      </c>
    </row>
    <row r="29" spans="1:6">
      <c r="A29" s="5">
        <v>195</v>
      </c>
      <c r="B29" s="12">
        <v>45314</v>
      </c>
      <c r="C29" s="5">
        <v>466126</v>
      </c>
      <c r="D29" s="5" t="s">
        <v>103</v>
      </c>
      <c r="E29" s="5">
        <v>33</v>
      </c>
      <c r="F29" s="28" t="s">
        <v>166</v>
      </c>
    </row>
    <row r="30" spans="1:6">
      <c r="A30" s="5">
        <v>163</v>
      </c>
      <c r="B30" s="12">
        <v>45373</v>
      </c>
      <c r="C30" s="5">
        <v>443480</v>
      </c>
      <c r="D30" s="5" t="s">
        <v>84</v>
      </c>
      <c r="E30" s="5">
        <v>47</v>
      </c>
      <c r="F30" s="28" t="s">
        <v>167</v>
      </c>
    </row>
    <row r="31" spans="1:6">
      <c r="A31" s="5">
        <v>152</v>
      </c>
      <c r="B31" s="12">
        <v>45367</v>
      </c>
      <c r="C31" s="5">
        <v>171444</v>
      </c>
      <c r="D31" s="5" t="s">
        <v>103</v>
      </c>
      <c r="E31" s="5">
        <v>22</v>
      </c>
      <c r="F31" s="28" t="s">
        <v>168</v>
      </c>
    </row>
    <row r="32" spans="1:6">
      <c r="A32" s="5">
        <v>179</v>
      </c>
      <c r="B32" s="12">
        <v>45333</v>
      </c>
      <c r="C32" s="5">
        <v>243994</v>
      </c>
      <c r="D32" s="5" t="s">
        <v>103</v>
      </c>
      <c r="E32" s="5">
        <v>12</v>
      </c>
      <c r="F32" s="28" t="s">
        <v>169</v>
      </c>
    </row>
    <row r="33" spans="1:6">
      <c r="A33" s="5">
        <v>108</v>
      </c>
      <c r="B33" s="12">
        <v>45380</v>
      </c>
      <c r="C33" s="5">
        <v>466126</v>
      </c>
      <c r="D33" s="5" t="s">
        <v>89</v>
      </c>
      <c r="E33" s="5">
        <v>42</v>
      </c>
      <c r="F33" s="28" t="s">
        <v>170</v>
      </c>
    </row>
    <row r="34" spans="1:6">
      <c r="A34" s="5">
        <v>163</v>
      </c>
      <c r="B34" s="12">
        <v>45301</v>
      </c>
      <c r="C34" s="5">
        <v>443480</v>
      </c>
      <c r="D34" s="5" t="s">
        <v>93</v>
      </c>
      <c r="E34" s="5">
        <v>6</v>
      </c>
      <c r="F34" s="28" t="s">
        <v>171</v>
      </c>
    </row>
    <row r="35" spans="1:6">
      <c r="A35" s="5">
        <v>127</v>
      </c>
      <c r="B35" s="12">
        <v>45359</v>
      </c>
      <c r="C35" s="5">
        <v>171444</v>
      </c>
      <c r="D35" s="5" t="s">
        <v>84</v>
      </c>
      <c r="E35" s="5">
        <v>8</v>
      </c>
      <c r="F35" s="28" t="s">
        <v>172</v>
      </c>
    </row>
    <row r="36" spans="1:6">
      <c r="A36" s="5">
        <v>157</v>
      </c>
      <c r="B36" s="12">
        <v>45302</v>
      </c>
      <c r="C36" s="5">
        <v>688897</v>
      </c>
      <c r="D36" s="5" t="s">
        <v>100</v>
      </c>
      <c r="E36" s="5">
        <v>14</v>
      </c>
      <c r="F36" s="28" t="s">
        <v>173</v>
      </c>
    </row>
    <row r="37" spans="1:6">
      <c r="A37" s="5">
        <v>157</v>
      </c>
      <c r="B37" s="12">
        <v>45319</v>
      </c>
      <c r="C37" s="5">
        <v>688897</v>
      </c>
      <c r="D37" s="5" t="s">
        <v>100</v>
      </c>
      <c r="E37" s="5">
        <v>3</v>
      </c>
      <c r="F37" s="28" t="s">
        <v>174</v>
      </c>
    </row>
    <row r="38" spans="1:6">
      <c r="A38" s="5">
        <v>153</v>
      </c>
      <c r="B38" s="12">
        <v>45336</v>
      </c>
      <c r="C38" s="5">
        <v>688897</v>
      </c>
      <c r="D38" s="5" t="s">
        <v>93</v>
      </c>
      <c r="E38" s="5">
        <v>33</v>
      </c>
      <c r="F38" s="28" t="s">
        <v>175</v>
      </c>
    </row>
    <row r="39" spans="1:6">
      <c r="A39" s="5">
        <v>195</v>
      </c>
      <c r="B39" s="12">
        <v>45366</v>
      </c>
      <c r="C39" s="5">
        <v>466126</v>
      </c>
      <c r="D39" s="5" t="s">
        <v>103</v>
      </c>
      <c r="E39" s="5">
        <v>44</v>
      </c>
      <c r="F39" s="28" t="s">
        <v>176</v>
      </c>
    </row>
    <row r="40" spans="1:6">
      <c r="A40" s="5">
        <v>153</v>
      </c>
      <c r="B40" s="12">
        <v>45363</v>
      </c>
      <c r="C40" s="5">
        <v>688897</v>
      </c>
      <c r="D40" s="5" t="s">
        <v>98</v>
      </c>
      <c r="E40" s="5">
        <v>46</v>
      </c>
      <c r="F40" s="28" t="s">
        <v>177</v>
      </c>
    </row>
    <row r="41" spans="1:6">
      <c r="A41" s="5">
        <v>157</v>
      </c>
      <c r="B41" s="12">
        <v>45323</v>
      </c>
      <c r="C41" s="5">
        <v>688897</v>
      </c>
      <c r="D41" s="5" t="s">
        <v>76</v>
      </c>
      <c r="E41" s="5">
        <v>16</v>
      </c>
      <c r="F41" s="28" t="s">
        <v>178</v>
      </c>
    </row>
    <row r="42" spans="1:6">
      <c r="A42" s="5">
        <v>152</v>
      </c>
      <c r="B42" s="12">
        <v>45299</v>
      </c>
      <c r="C42" s="5">
        <v>171444</v>
      </c>
      <c r="D42" s="5" t="s">
        <v>103</v>
      </c>
      <c r="E42" s="5">
        <v>25</v>
      </c>
      <c r="F42" s="28" t="s">
        <v>179</v>
      </c>
    </row>
    <row r="43" spans="1:6">
      <c r="A43" s="5">
        <v>108</v>
      </c>
      <c r="B43" s="12">
        <v>45359</v>
      </c>
      <c r="C43" s="5">
        <v>466126</v>
      </c>
      <c r="D43" s="5" t="s">
        <v>89</v>
      </c>
      <c r="E43" s="5">
        <v>46</v>
      </c>
      <c r="F43" s="28" t="s">
        <v>180</v>
      </c>
    </row>
    <row r="44" spans="1:6">
      <c r="A44" s="5">
        <v>151</v>
      </c>
      <c r="B44" s="12">
        <v>45306</v>
      </c>
      <c r="C44" s="5">
        <v>443480</v>
      </c>
      <c r="D44" s="5" t="s">
        <v>103</v>
      </c>
      <c r="E44" s="5">
        <v>50</v>
      </c>
      <c r="F44" s="28" t="s">
        <v>181</v>
      </c>
    </row>
    <row r="45" spans="1:6">
      <c r="A45" s="5">
        <v>157</v>
      </c>
      <c r="B45" s="12">
        <v>45299</v>
      </c>
      <c r="C45" s="5">
        <v>688897</v>
      </c>
      <c r="D45" s="5" t="s">
        <v>103</v>
      </c>
      <c r="E45" s="5">
        <v>25</v>
      </c>
      <c r="F45" s="28" t="s">
        <v>182</v>
      </c>
    </row>
    <row r="46" spans="1:6">
      <c r="A46" s="5">
        <v>195</v>
      </c>
      <c r="B46" s="12">
        <v>45321</v>
      </c>
      <c r="C46" s="5">
        <v>466126</v>
      </c>
      <c r="D46" s="5" t="s">
        <v>105</v>
      </c>
      <c r="E46" s="5">
        <v>5</v>
      </c>
      <c r="F46" s="28" t="s">
        <v>183</v>
      </c>
    </row>
    <row r="47" spans="1:6">
      <c r="A47" s="5">
        <v>153</v>
      </c>
      <c r="B47" s="12">
        <v>45352</v>
      </c>
      <c r="C47" s="5">
        <v>688897</v>
      </c>
      <c r="D47" s="5" t="s">
        <v>84</v>
      </c>
      <c r="E47" s="5">
        <v>23</v>
      </c>
      <c r="F47" s="28" t="s">
        <v>184</v>
      </c>
    </row>
    <row r="48" spans="1:6">
      <c r="A48" s="5">
        <v>157</v>
      </c>
      <c r="B48" s="12">
        <v>45358</v>
      </c>
      <c r="C48" s="5">
        <v>688897</v>
      </c>
      <c r="D48" s="5" t="s">
        <v>105</v>
      </c>
      <c r="E48" s="5">
        <v>23</v>
      </c>
      <c r="F48" s="28" t="s">
        <v>185</v>
      </c>
    </row>
    <row r="49" spans="1:6">
      <c r="A49" s="5">
        <v>152</v>
      </c>
      <c r="B49" s="12">
        <v>45364</v>
      </c>
      <c r="C49" s="5">
        <v>171444</v>
      </c>
      <c r="D49" s="5" t="s">
        <v>79</v>
      </c>
      <c r="E49" s="5">
        <v>2</v>
      </c>
      <c r="F49" s="28" t="s">
        <v>186</v>
      </c>
    </row>
    <row r="50" spans="1:6">
      <c r="A50" s="5">
        <v>152</v>
      </c>
      <c r="B50" s="12">
        <v>45305</v>
      </c>
      <c r="C50" s="5">
        <v>466126</v>
      </c>
      <c r="D50" s="5" t="s">
        <v>76</v>
      </c>
      <c r="E50" s="5">
        <v>49</v>
      </c>
      <c r="F50" s="28" t="s">
        <v>187</v>
      </c>
    </row>
    <row r="51" spans="1:6">
      <c r="A51" s="5">
        <v>163</v>
      </c>
      <c r="B51" s="12">
        <v>45336</v>
      </c>
      <c r="C51" s="5">
        <v>443480</v>
      </c>
      <c r="D51" s="5" t="s">
        <v>93</v>
      </c>
      <c r="E51" s="5">
        <v>36</v>
      </c>
      <c r="F51" s="28" t="s">
        <v>188</v>
      </c>
    </row>
    <row r="52" spans="1:6">
      <c r="A52" s="5">
        <v>179</v>
      </c>
      <c r="B52" s="12">
        <v>45368</v>
      </c>
      <c r="C52" s="5">
        <v>243994</v>
      </c>
      <c r="D52" s="5" t="s">
        <v>91</v>
      </c>
      <c r="E52" s="5">
        <v>45</v>
      </c>
      <c r="F52" s="28" t="s">
        <v>189</v>
      </c>
    </row>
    <row r="53" spans="1:6">
      <c r="A53" s="5">
        <v>195</v>
      </c>
      <c r="B53" s="12">
        <v>45351</v>
      </c>
      <c r="C53" s="5">
        <v>466126</v>
      </c>
      <c r="D53" s="5" t="s">
        <v>91</v>
      </c>
      <c r="E53" s="5">
        <v>21</v>
      </c>
      <c r="F53" s="28" t="s">
        <v>190</v>
      </c>
    </row>
    <row r="54" spans="1:6">
      <c r="A54" s="5">
        <v>152</v>
      </c>
      <c r="B54" s="12">
        <v>45342</v>
      </c>
      <c r="C54" s="5">
        <v>171444</v>
      </c>
      <c r="D54" s="5" t="s">
        <v>79</v>
      </c>
      <c r="E54" s="5">
        <v>28</v>
      </c>
      <c r="F54" s="28" t="s">
        <v>191</v>
      </c>
    </row>
    <row r="55" spans="1:6">
      <c r="A55" s="5">
        <v>163</v>
      </c>
      <c r="B55" s="12">
        <v>45379</v>
      </c>
      <c r="C55" s="5">
        <v>443480</v>
      </c>
      <c r="D55" s="5" t="s">
        <v>107</v>
      </c>
      <c r="E55" s="5">
        <v>11</v>
      </c>
      <c r="F55" s="28" t="s">
        <v>192</v>
      </c>
    </row>
    <row r="56" spans="1:6">
      <c r="A56" s="5">
        <v>152</v>
      </c>
      <c r="B56" s="12">
        <v>45314</v>
      </c>
      <c r="C56" s="5">
        <v>171444</v>
      </c>
      <c r="D56" s="5" t="s">
        <v>91</v>
      </c>
      <c r="E56" s="5">
        <v>21</v>
      </c>
      <c r="F56" s="28" t="s">
        <v>193</v>
      </c>
    </row>
    <row r="57" spans="1:6">
      <c r="A57" s="5">
        <v>195</v>
      </c>
      <c r="B57" s="12">
        <v>45377</v>
      </c>
      <c r="C57" s="5">
        <v>466126</v>
      </c>
      <c r="D57" s="5" t="s">
        <v>91</v>
      </c>
      <c r="E57" s="5">
        <v>16</v>
      </c>
      <c r="F57" s="28" t="s">
        <v>194</v>
      </c>
    </row>
    <row r="58" spans="1:6">
      <c r="A58" s="5">
        <v>157</v>
      </c>
      <c r="B58" s="12">
        <v>45331</v>
      </c>
      <c r="C58" s="5">
        <v>688897</v>
      </c>
      <c r="D58" s="5" t="s">
        <v>103</v>
      </c>
      <c r="E58" s="5">
        <v>16</v>
      </c>
      <c r="F58" s="28" t="s">
        <v>195</v>
      </c>
    </row>
    <row r="59" spans="1:6">
      <c r="A59" s="5">
        <v>127</v>
      </c>
      <c r="B59" s="12">
        <v>45323</v>
      </c>
      <c r="C59" s="5">
        <v>171444</v>
      </c>
      <c r="D59" s="5" t="s">
        <v>89</v>
      </c>
      <c r="E59" s="5">
        <v>19</v>
      </c>
      <c r="F59" s="28" t="s">
        <v>196</v>
      </c>
    </row>
    <row r="60" spans="1:6">
      <c r="A60" s="5">
        <v>108</v>
      </c>
      <c r="B60" s="12">
        <v>45350</v>
      </c>
      <c r="C60" s="5">
        <v>466126</v>
      </c>
      <c r="D60" s="5" t="s">
        <v>95</v>
      </c>
      <c r="E60" s="5">
        <v>40</v>
      </c>
      <c r="F60" s="28" t="s">
        <v>197</v>
      </c>
    </row>
    <row r="61" spans="1:6">
      <c r="A61" s="5">
        <v>127</v>
      </c>
      <c r="B61" s="12">
        <v>45358</v>
      </c>
      <c r="C61" s="5">
        <v>171444</v>
      </c>
      <c r="D61" s="5" t="s">
        <v>84</v>
      </c>
      <c r="E61" s="5">
        <v>20</v>
      </c>
      <c r="F61" s="28" t="s">
        <v>198</v>
      </c>
    </row>
    <row r="62" spans="1:6">
      <c r="A62" s="5">
        <v>152</v>
      </c>
      <c r="B62" s="12">
        <v>45327</v>
      </c>
      <c r="C62" s="5">
        <v>171444</v>
      </c>
      <c r="D62" s="5" t="s">
        <v>100</v>
      </c>
      <c r="E62" s="5">
        <v>47</v>
      </c>
      <c r="F62" s="28" t="s">
        <v>199</v>
      </c>
    </row>
    <row r="63" spans="1:6">
      <c r="A63" s="5">
        <v>163</v>
      </c>
      <c r="B63" s="12">
        <v>45304</v>
      </c>
      <c r="C63" s="5">
        <v>443480</v>
      </c>
      <c r="D63" s="5" t="s">
        <v>95</v>
      </c>
      <c r="E63" s="5">
        <v>10</v>
      </c>
      <c r="F63" s="28" t="s">
        <v>200</v>
      </c>
    </row>
    <row r="64" spans="1:6">
      <c r="A64" s="5">
        <v>108</v>
      </c>
      <c r="B64" s="12">
        <v>45378</v>
      </c>
      <c r="C64" s="5">
        <v>466126</v>
      </c>
      <c r="D64" s="5" t="s">
        <v>93</v>
      </c>
      <c r="E64" s="5">
        <v>35</v>
      </c>
      <c r="F64" s="28" t="s">
        <v>201</v>
      </c>
    </row>
    <row r="65" spans="1:6">
      <c r="A65" s="5">
        <v>152</v>
      </c>
      <c r="B65" s="12">
        <v>45335</v>
      </c>
      <c r="C65" s="5">
        <v>171444</v>
      </c>
      <c r="D65" s="5" t="s">
        <v>105</v>
      </c>
      <c r="E65" s="5">
        <v>49</v>
      </c>
      <c r="F65" s="28" t="s">
        <v>202</v>
      </c>
    </row>
    <row r="66" spans="1:6">
      <c r="A66" s="5">
        <v>127</v>
      </c>
      <c r="B66" s="12">
        <v>45362</v>
      </c>
      <c r="C66" s="5">
        <v>171444</v>
      </c>
      <c r="D66" s="5" t="s">
        <v>98</v>
      </c>
      <c r="E66" s="5">
        <v>14</v>
      </c>
      <c r="F66" s="28" t="s">
        <v>203</v>
      </c>
    </row>
    <row r="67" spans="1:6">
      <c r="A67" s="5">
        <v>163</v>
      </c>
      <c r="B67" s="12">
        <v>45374</v>
      </c>
      <c r="C67" s="5">
        <v>443480</v>
      </c>
      <c r="D67" s="5" t="s">
        <v>98</v>
      </c>
      <c r="E67" s="5">
        <v>21</v>
      </c>
      <c r="F67" s="28" t="s">
        <v>204</v>
      </c>
    </row>
    <row r="68" spans="1:6">
      <c r="A68" s="5">
        <v>195</v>
      </c>
      <c r="B68" s="12">
        <v>45335</v>
      </c>
      <c r="C68" s="5">
        <v>466126</v>
      </c>
      <c r="D68" s="5" t="s">
        <v>105</v>
      </c>
      <c r="E68" s="5">
        <v>13</v>
      </c>
      <c r="F68" s="28" t="s">
        <v>205</v>
      </c>
    </row>
    <row r="69" spans="1:6">
      <c r="A69" s="5">
        <v>153</v>
      </c>
      <c r="B69" s="12">
        <v>45358</v>
      </c>
      <c r="C69" s="5">
        <v>688897</v>
      </c>
      <c r="D69" s="5" t="s">
        <v>82</v>
      </c>
      <c r="E69" s="5">
        <v>10</v>
      </c>
      <c r="F69" s="28" t="s">
        <v>206</v>
      </c>
    </row>
    <row r="70" spans="1:6">
      <c r="A70" s="5">
        <v>163</v>
      </c>
      <c r="B70" s="12">
        <v>45353</v>
      </c>
      <c r="C70" s="5">
        <v>443480</v>
      </c>
      <c r="D70" s="5" t="s">
        <v>84</v>
      </c>
      <c r="E70" s="5">
        <v>14</v>
      </c>
      <c r="F70" s="28" t="s">
        <v>207</v>
      </c>
    </row>
    <row r="71" spans="1:6">
      <c r="A71" s="5">
        <v>127</v>
      </c>
      <c r="B71" s="12">
        <v>45366</v>
      </c>
      <c r="C71" s="5">
        <v>171444</v>
      </c>
      <c r="D71" s="5" t="s">
        <v>93</v>
      </c>
      <c r="E71" s="5">
        <v>1</v>
      </c>
      <c r="F71" s="28" t="s">
        <v>208</v>
      </c>
    </row>
    <row r="72" spans="1:6">
      <c r="A72" s="5">
        <v>179</v>
      </c>
      <c r="B72" s="12">
        <v>45369</v>
      </c>
      <c r="C72" s="5">
        <v>243994</v>
      </c>
      <c r="D72" s="5" t="s">
        <v>87</v>
      </c>
      <c r="E72" s="5">
        <v>35</v>
      </c>
      <c r="F72" s="28" t="s">
        <v>209</v>
      </c>
    </row>
    <row r="73" spans="1:6">
      <c r="A73" s="5">
        <v>108</v>
      </c>
      <c r="B73" s="12">
        <v>45313</v>
      </c>
      <c r="C73" s="5">
        <v>466126</v>
      </c>
      <c r="D73" s="5" t="s">
        <v>98</v>
      </c>
      <c r="E73" s="5">
        <v>7</v>
      </c>
      <c r="F73" s="28" t="s">
        <v>210</v>
      </c>
    </row>
    <row r="74" spans="1:6">
      <c r="A74" s="5">
        <v>157</v>
      </c>
      <c r="B74" s="12">
        <v>45293</v>
      </c>
      <c r="C74" s="5">
        <v>688897</v>
      </c>
      <c r="D74" s="5" t="s">
        <v>105</v>
      </c>
      <c r="E74" s="5">
        <v>29</v>
      </c>
      <c r="F74" s="28" t="s">
        <v>211</v>
      </c>
    </row>
    <row r="75" spans="1:6">
      <c r="A75" s="5">
        <v>151</v>
      </c>
      <c r="B75" s="12">
        <v>45324</v>
      </c>
      <c r="C75" s="5">
        <v>443480</v>
      </c>
      <c r="D75" s="5" t="s">
        <v>79</v>
      </c>
      <c r="E75" s="5">
        <v>46</v>
      </c>
      <c r="F75" s="28" t="s">
        <v>212</v>
      </c>
    </row>
    <row r="76" spans="1:6">
      <c r="A76" s="5">
        <v>157</v>
      </c>
      <c r="B76" s="12">
        <v>45306</v>
      </c>
      <c r="C76" s="5">
        <v>688897</v>
      </c>
      <c r="D76" s="5" t="s">
        <v>100</v>
      </c>
      <c r="E76" s="5">
        <v>28</v>
      </c>
      <c r="F76" s="28" t="s">
        <v>213</v>
      </c>
    </row>
    <row r="77" spans="1:6">
      <c r="A77" s="5">
        <v>186</v>
      </c>
      <c r="B77" s="12">
        <v>45316</v>
      </c>
      <c r="C77" s="5">
        <v>243994</v>
      </c>
      <c r="D77" s="5" t="s">
        <v>84</v>
      </c>
      <c r="E77" s="5">
        <v>35</v>
      </c>
      <c r="F77" s="28" t="s">
        <v>214</v>
      </c>
    </row>
    <row r="78" spans="1:6">
      <c r="A78" s="5">
        <v>186</v>
      </c>
      <c r="B78" s="12">
        <v>45373</v>
      </c>
      <c r="C78" s="5">
        <v>466126</v>
      </c>
      <c r="D78" s="5" t="s">
        <v>107</v>
      </c>
      <c r="E78" s="5">
        <v>31</v>
      </c>
      <c r="F78" s="28" t="s">
        <v>215</v>
      </c>
    </row>
    <row r="79" spans="1:6">
      <c r="A79" s="5">
        <v>152</v>
      </c>
      <c r="B79" s="12">
        <v>45375</v>
      </c>
      <c r="C79" s="5">
        <v>171444</v>
      </c>
      <c r="D79" s="5" t="s">
        <v>91</v>
      </c>
      <c r="E79" s="5">
        <v>24</v>
      </c>
      <c r="F79" s="28" t="s">
        <v>216</v>
      </c>
    </row>
    <row r="80" spans="1:6">
      <c r="A80" s="5">
        <v>195</v>
      </c>
      <c r="B80" s="12">
        <v>45292</v>
      </c>
      <c r="C80" s="5">
        <v>466126</v>
      </c>
      <c r="D80" s="5" t="s">
        <v>79</v>
      </c>
      <c r="E80" s="5">
        <v>45</v>
      </c>
      <c r="F80" s="28" t="s">
        <v>217</v>
      </c>
    </row>
    <row r="81" spans="1:6">
      <c r="A81" s="5">
        <v>195</v>
      </c>
      <c r="B81" s="12">
        <v>45330</v>
      </c>
      <c r="C81" s="5">
        <v>466126</v>
      </c>
      <c r="D81" s="5" t="s">
        <v>79</v>
      </c>
      <c r="E81" s="5">
        <v>46</v>
      </c>
      <c r="F81" s="28" t="s">
        <v>218</v>
      </c>
    </row>
    <row r="82" spans="1:6">
      <c r="A82" s="5">
        <v>186</v>
      </c>
      <c r="B82" s="12">
        <v>45332</v>
      </c>
      <c r="C82" s="5">
        <v>243994</v>
      </c>
      <c r="D82" s="5" t="s">
        <v>82</v>
      </c>
      <c r="E82" s="5">
        <v>12</v>
      </c>
      <c r="F82" s="28" t="s">
        <v>219</v>
      </c>
    </row>
    <row r="83" spans="1:6">
      <c r="A83" s="5">
        <v>108</v>
      </c>
      <c r="B83" s="12">
        <v>45342</v>
      </c>
      <c r="C83" s="5">
        <v>466126</v>
      </c>
      <c r="D83" s="5" t="s">
        <v>93</v>
      </c>
      <c r="E83" s="5">
        <v>9</v>
      </c>
      <c r="F83" s="28" t="s">
        <v>220</v>
      </c>
    </row>
    <row r="84" spans="1:6">
      <c r="A84" s="5">
        <v>157</v>
      </c>
      <c r="B84" s="12">
        <v>45329</v>
      </c>
      <c r="C84" s="5">
        <v>688897</v>
      </c>
      <c r="D84" s="5" t="s">
        <v>79</v>
      </c>
      <c r="E84" s="5">
        <v>39</v>
      </c>
      <c r="F84" s="28" t="s">
        <v>221</v>
      </c>
    </row>
    <row r="85" spans="1:6">
      <c r="A85" s="5">
        <v>151</v>
      </c>
      <c r="B85" s="12">
        <v>45356</v>
      </c>
      <c r="C85" s="5">
        <v>443480</v>
      </c>
      <c r="D85" s="5" t="s">
        <v>76</v>
      </c>
      <c r="E85" s="5">
        <v>47</v>
      </c>
      <c r="F85" s="28" t="s">
        <v>222</v>
      </c>
    </row>
    <row r="86" spans="1:6">
      <c r="A86" s="5">
        <v>186</v>
      </c>
      <c r="B86" s="12">
        <v>45313</v>
      </c>
      <c r="C86" s="5">
        <v>243994</v>
      </c>
      <c r="D86" s="5" t="s">
        <v>98</v>
      </c>
      <c r="E86" s="5">
        <v>28</v>
      </c>
      <c r="F86" s="28" t="s">
        <v>223</v>
      </c>
    </row>
    <row r="87" spans="1:6">
      <c r="A87" s="5">
        <v>151</v>
      </c>
      <c r="B87" s="12">
        <v>45294</v>
      </c>
      <c r="C87" s="5">
        <v>443480</v>
      </c>
      <c r="D87" s="5" t="s">
        <v>105</v>
      </c>
      <c r="E87" s="5">
        <v>9</v>
      </c>
      <c r="F87" s="28" t="s">
        <v>224</v>
      </c>
    </row>
    <row r="88" spans="1:6">
      <c r="A88" s="5">
        <v>127</v>
      </c>
      <c r="B88" s="12">
        <v>45379</v>
      </c>
      <c r="C88" s="5">
        <v>466126</v>
      </c>
      <c r="D88" s="5" t="s">
        <v>84</v>
      </c>
      <c r="E88" s="5">
        <v>22</v>
      </c>
      <c r="F88" s="28" t="s">
        <v>225</v>
      </c>
    </row>
    <row r="89" spans="1:6">
      <c r="A89" s="5">
        <v>179</v>
      </c>
      <c r="B89" s="12">
        <v>45295</v>
      </c>
      <c r="C89" s="5">
        <v>243994</v>
      </c>
      <c r="D89" s="5" t="s">
        <v>105</v>
      </c>
      <c r="E89" s="5">
        <v>14</v>
      </c>
      <c r="F89" s="28" t="s">
        <v>226</v>
      </c>
    </row>
    <row r="90" spans="1:6">
      <c r="A90" s="5">
        <v>163</v>
      </c>
      <c r="B90" s="12">
        <v>45306</v>
      </c>
      <c r="C90" s="5">
        <v>443480</v>
      </c>
      <c r="D90" s="5" t="s">
        <v>98</v>
      </c>
      <c r="E90" s="5">
        <v>47</v>
      </c>
      <c r="F90" s="28" t="s">
        <v>227</v>
      </c>
    </row>
    <row r="91" spans="1:6">
      <c r="A91" s="5">
        <v>153</v>
      </c>
      <c r="B91" s="12">
        <v>45365</v>
      </c>
      <c r="C91" s="5">
        <v>688897</v>
      </c>
      <c r="D91" s="5" t="s">
        <v>93</v>
      </c>
      <c r="E91" s="5">
        <v>49</v>
      </c>
      <c r="F91" s="28" t="s">
        <v>228</v>
      </c>
    </row>
    <row r="92" spans="1:6">
      <c r="A92" s="5">
        <v>186</v>
      </c>
      <c r="B92" s="12">
        <v>45342</v>
      </c>
      <c r="C92" s="5">
        <v>243994</v>
      </c>
      <c r="D92" s="5" t="s">
        <v>89</v>
      </c>
      <c r="E92" s="5">
        <v>39</v>
      </c>
      <c r="F92" s="28" t="s">
        <v>229</v>
      </c>
    </row>
    <row r="93" spans="1:6">
      <c r="A93" s="5">
        <v>108</v>
      </c>
      <c r="B93" s="12">
        <v>45332</v>
      </c>
      <c r="C93" s="5">
        <v>466126</v>
      </c>
      <c r="D93" s="5" t="s">
        <v>82</v>
      </c>
      <c r="E93" s="5">
        <v>41</v>
      </c>
      <c r="F93" s="28" t="s">
        <v>230</v>
      </c>
    </row>
    <row r="94" spans="1:6">
      <c r="A94" s="5">
        <v>186</v>
      </c>
      <c r="B94" s="12">
        <v>45324</v>
      </c>
      <c r="C94" s="5">
        <v>243994</v>
      </c>
      <c r="D94" s="5" t="s">
        <v>93</v>
      </c>
      <c r="E94" s="5">
        <v>50</v>
      </c>
      <c r="F94" s="28" t="s">
        <v>231</v>
      </c>
    </row>
    <row r="95" spans="1:6">
      <c r="A95" s="5">
        <v>179</v>
      </c>
      <c r="B95" s="12">
        <v>45311</v>
      </c>
      <c r="C95" s="5">
        <v>243994</v>
      </c>
      <c r="D95" s="5" t="s">
        <v>87</v>
      </c>
      <c r="E95" s="5">
        <v>33</v>
      </c>
      <c r="F95" s="28" t="s">
        <v>232</v>
      </c>
    </row>
    <row r="96" spans="1:6">
      <c r="A96" s="5">
        <v>186</v>
      </c>
      <c r="B96" s="12">
        <v>45346</v>
      </c>
      <c r="C96" s="5">
        <v>243994</v>
      </c>
      <c r="D96" s="5" t="s">
        <v>107</v>
      </c>
      <c r="E96" s="5">
        <v>46</v>
      </c>
      <c r="F96" s="28" t="s">
        <v>233</v>
      </c>
    </row>
    <row r="97" spans="1:6">
      <c r="A97" s="5">
        <v>152</v>
      </c>
      <c r="B97" s="12">
        <v>45326</v>
      </c>
      <c r="C97" s="5">
        <v>171444</v>
      </c>
      <c r="D97" s="5" t="s">
        <v>87</v>
      </c>
      <c r="E97" s="5">
        <v>24</v>
      </c>
      <c r="F97" s="28" t="s">
        <v>234</v>
      </c>
    </row>
    <row r="98" spans="1:6">
      <c r="A98" s="5">
        <v>195</v>
      </c>
      <c r="B98" s="12">
        <v>45298</v>
      </c>
      <c r="C98" s="5">
        <v>466126</v>
      </c>
      <c r="D98" s="5" t="s">
        <v>100</v>
      </c>
      <c r="E98" s="5">
        <v>17</v>
      </c>
      <c r="F98" s="28" t="s">
        <v>235</v>
      </c>
    </row>
    <row r="99" spans="1:6">
      <c r="A99" s="5">
        <v>157</v>
      </c>
      <c r="B99" s="12">
        <v>45323</v>
      </c>
      <c r="C99" s="5">
        <v>688897</v>
      </c>
      <c r="D99" s="5" t="s">
        <v>87</v>
      </c>
      <c r="E99" s="5">
        <v>30</v>
      </c>
      <c r="F99" s="28" t="s">
        <v>236</v>
      </c>
    </row>
    <row r="100" spans="1:6">
      <c r="A100" s="5">
        <v>151</v>
      </c>
      <c r="B100" s="12">
        <v>45299</v>
      </c>
      <c r="C100" s="5">
        <v>443480</v>
      </c>
      <c r="D100" s="5" t="s">
        <v>100</v>
      </c>
      <c r="E100" s="5">
        <v>23</v>
      </c>
      <c r="F100" s="28" t="s">
        <v>237</v>
      </c>
    </row>
    <row r="101" spans="1:6">
      <c r="A101" s="5">
        <v>153</v>
      </c>
      <c r="B101" s="12">
        <v>45299</v>
      </c>
      <c r="C101" s="5">
        <v>688897</v>
      </c>
      <c r="D101" s="5" t="s">
        <v>98</v>
      </c>
      <c r="E101" s="5">
        <v>31</v>
      </c>
      <c r="F101" s="28" t="s">
        <v>238</v>
      </c>
    </row>
    <row r="102" spans="1:6">
      <c r="A102" s="5">
        <v>152</v>
      </c>
      <c r="B102" s="12">
        <v>45336</v>
      </c>
      <c r="C102" s="5">
        <v>171444</v>
      </c>
      <c r="D102" s="5" t="s">
        <v>105</v>
      </c>
      <c r="E102" s="5">
        <v>48</v>
      </c>
      <c r="F102" s="28" t="s">
        <v>239</v>
      </c>
    </row>
    <row r="103" spans="1:6">
      <c r="A103" s="5">
        <v>152</v>
      </c>
      <c r="B103" s="12">
        <v>45322</v>
      </c>
      <c r="C103" s="5">
        <v>171444</v>
      </c>
      <c r="D103" s="5" t="s">
        <v>87</v>
      </c>
      <c r="E103" s="5">
        <v>24</v>
      </c>
      <c r="F103" s="28" t="s">
        <v>240</v>
      </c>
    </row>
    <row r="104" spans="1:6">
      <c r="A104" s="5">
        <v>153</v>
      </c>
      <c r="B104" s="12">
        <v>45352</v>
      </c>
      <c r="C104" s="5">
        <v>688897</v>
      </c>
      <c r="D104" s="5" t="s">
        <v>84</v>
      </c>
      <c r="E104" s="5">
        <v>17</v>
      </c>
      <c r="F104" s="28" t="s">
        <v>241</v>
      </c>
    </row>
    <row r="105" spans="1:6">
      <c r="A105" s="5">
        <v>152</v>
      </c>
      <c r="B105" s="12">
        <v>45324</v>
      </c>
      <c r="C105" s="5">
        <v>171444</v>
      </c>
      <c r="D105" s="5" t="s">
        <v>79</v>
      </c>
      <c r="E105" s="5">
        <v>2</v>
      </c>
      <c r="F105" s="28" t="s">
        <v>242</v>
      </c>
    </row>
    <row r="106" spans="1:6">
      <c r="A106" s="5">
        <v>127</v>
      </c>
      <c r="B106" s="12">
        <v>45359</v>
      </c>
      <c r="C106" s="5">
        <v>171444</v>
      </c>
      <c r="D106" s="5" t="s">
        <v>93</v>
      </c>
      <c r="E106" s="5">
        <v>24</v>
      </c>
      <c r="F106" s="28" t="s">
        <v>243</v>
      </c>
    </row>
    <row r="107" spans="1:6">
      <c r="A107" s="5">
        <v>127</v>
      </c>
      <c r="B107" s="12">
        <v>45367</v>
      </c>
      <c r="C107" s="5">
        <v>171444</v>
      </c>
      <c r="D107" s="5" t="s">
        <v>82</v>
      </c>
      <c r="E107" s="5">
        <v>22</v>
      </c>
      <c r="F107" s="28" t="s">
        <v>244</v>
      </c>
    </row>
    <row r="108" spans="1:6">
      <c r="A108" s="5">
        <v>186</v>
      </c>
      <c r="B108" s="12">
        <v>45361</v>
      </c>
      <c r="C108" s="5">
        <v>243994</v>
      </c>
      <c r="D108" s="5" t="s">
        <v>107</v>
      </c>
      <c r="E108" s="5">
        <v>20</v>
      </c>
      <c r="F108" s="28" t="s">
        <v>245</v>
      </c>
    </row>
    <row r="109" spans="1:6">
      <c r="A109" s="5">
        <v>151</v>
      </c>
      <c r="B109" s="12">
        <v>45299</v>
      </c>
      <c r="C109" s="5">
        <v>443480</v>
      </c>
      <c r="D109" s="5" t="s">
        <v>105</v>
      </c>
      <c r="E109" s="5">
        <v>32</v>
      </c>
      <c r="F109" s="28" t="s">
        <v>246</v>
      </c>
    </row>
    <row r="110" spans="1:6">
      <c r="A110" s="5">
        <v>152</v>
      </c>
      <c r="B110" s="12">
        <v>45335</v>
      </c>
      <c r="C110" s="5">
        <v>171444</v>
      </c>
      <c r="D110" s="5" t="s">
        <v>79</v>
      </c>
      <c r="E110" s="5">
        <v>35</v>
      </c>
      <c r="F110" s="28" t="s">
        <v>247</v>
      </c>
    </row>
    <row r="111" spans="1:6">
      <c r="A111" s="5">
        <v>195</v>
      </c>
      <c r="B111" s="12">
        <v>45379</v>
      </c>
      <c r="C111" s="5">
        <v>466126</v>
      </c>
      <c r="D111" s="5" t="s">
        <v>105</v>
      </c>
      <c r="E111" s="5">
        <v>21</v>
      </c>
      <c r="F111" s="28" t="s">
        <v>248</v>
      </c>
    </row>
    <row r="112" spans="1:6">
      <c r="A112" s="5">
        <v>151</v>
      </c>
      <c r="B112" s="12">
        <v>45367</v>
      </c>
      <c r="C112" s="5">
        <v>443480</v>
      </c>
      <c r="D112" s="5" t="s">
        <v>103</v>
      </c>
      <c r="E112" s="5">
        <v>8</v>
      </c>
      <c r="F112" s="28" t="s">
        <v>249</v>
      </c>
    </row>
    <row r="113" spans="1:6">
      <c r="A113" s="5">
        <v>153</v>
      </c>
      <c r="B113" s="12">
        <v>45332</v>
      </c>
      <c r="C113" s="5">
        <v>688897</v>
      </c>
      <c r="D113" s="5" t="s">
        <v>107</v>
      </c>
      <c r="E113" s="5">
        <v>49</v>
      </c>
      <c r="F113" s="28" t="s">
        <v>250</v>
      </c>
    </row>
    <row r="114" spans="1:6">
      <c r="A114" s="5">
        <v>179</v>
      </c>
      <c r="B114" s="12">
        <v>45353</v>
      </c>
      <c r="C114" s="5">
        <v>243994</v>
      </c>
      <c r="D114" s="5" t="s">
        <v>100</v>
      </c>
      <c r="E114" s="5">
        <v>41</v>
      </c>
      <c r="F114" s="28" t="s">
        <v>251</v>
      </c>
    </row>
    <row r="115" spans="1:6">
      <c r="A115" s="5">
        <v>127</v>
      </c>
      <c r="B115" s="12">
        <v>45330</v>
      </c>
      <c r="C115" s="5">
        <v>171444</v>
      </c>
      <c r="D115" s="5" t="s">
        <v>93</v>
      </c>
      <c r="E115" s="5">
        <v>46</v>
      </c>
      <c r="F115" s="28" t="s">
        <v>252</v>
      </c>
    </row>
    <row r="116" spans="1:6">
      <c r="A116" s="5">
        <v>108</v>
      </c>
      <c r="B116" s="12">
        <v>45354</v>
      </c>
      <c r="C116" s="5">
        <v>466126</v>
      </c>
      <c r="D116" s="5" t="s">
        <v>82</v>
      </c>
      <c r="E116" s="5">
        <v>49</v>
      </c>
      <c r="F116" s="28" t="s">
        <v>253</v>
      </c>
    </row>
    <row r="117" spans="1:6">
      <c r="A117" s="5">
        <v>152</v>
      </c>
      <c r="B117" s="12">
        <v>45300</v>
      </c>
      <c r="C117" s="5">
        <v>171444</v>
      </c>
      <c r="D117" s="5" t="s">
        <v>91</v>
      </c>
      <c r="E117" s="5">
        <v>22</v>
      </c>
      <c r="F117" s="28" t="s">
        <v>254</v>
      </c>
    </row>
    <row r="118" spans="1:6">
      <c r="A118" s="5">
        <v>108</v>
      </c>
      <c r="B118" s="12">
        <v>45324</v>
      </c>
      <c r="C118" s="5">
        <v>466126</v>
      </c>
      <c r="D118" s="5" t="s">
        <v>84</v>
      </c>
      <c r="E118" s="5">
        <v>7</v>
      </c>
      <c r="F118" s="28" t="s">
        <v>255</v>
      </c>
    </row>
    <row r="119" spans="1:6">
      <c r="A119" s="5">
        <v>151</v>
      </c>
      <c r="B119" s="12">
        <v>45338</v>
      </c>
      <c r="C119" s="5">
        <v>443480</v>
      </c>
      <c r="D119" s="5" t="s">
        <v>79</v>
      </c>
      <c r="E119" s="5">
        <v>22</v>
      </c>
      <c r="F119" s="28" t="s">
        <v>256</v>
      </c>
    </row>
    <row r="120" spans="1:6">
      <c r="A120" s="5">
        <v>163</v>
      </c>
      <c r="B120" s="12">
        <v>45374</v>
      </c>
      <c r="C120" s="5">
        <v>443480</v>
      </c>
      <c r="D120" s="5" t="s">
        <v>107</v>
      </c>
      <c r="E120" s="5">
        <v>4</v>
      </c>
      <c r="F120" s="28" t="s">
        <v>257</v>
      </c>
    </row>
    <row r="121" spans="1:6">
      <c r="A121" s="5">
        <v>152</v>
      </c>
      <c r="B121" s="12">
        <v>45328</v>
      </c>
      <c r="C121" s="5">
        <v>171444</v>
      </c>
      <c r="D121" s="5" t="s">
        <v>76</v>
      </c>
      <c r="E121" s="5">
        <v>34</v>
      </c>
      <c r="F121" s="28" t="s">
        <v>258</v>
      </c>
    </row>
    <row r="122" spans="1:6">
      <c r="A122" s="5">
        <v>179</v>
      </c>
      <c r="B122" s="12">
        <v>45353</v>
      </c>
      <c r="C122" s="5">
        <v>243994</v>
      </c>
      <c r="D122" s="5" t="s">
        <v>79</v>
      </c>
      <c r="E122" s="5">
        <v>16</v>
      </c>
      <c r="F122" s="28" t="s">
        <v>259</v>
      </c>
    </row>
    <row r="123" spans="1:6">
      <c r="A123" s="5">
        <v>195</v>
      </c>
      <c r="B123" s="12">
        <v>45352</v>
      </c>
      <c r="C123" s="5">
        <v>466126</v>
      </c>
      <c r="D123" s="5" t="s">
        <v>76</v>
      </c>
      <c r="E123" s="5">
        <v>22</v>
      </c>
      <c r="F123" s="28" t="s">
        <v>260</v>
      </c>
    </row>
    <row r="124" spans="1:6">
      <c r="A124" s="5">
        <v>152</v>
      </c>
      <c r="B124" s="12">
        <v>45334</v>
      </c>
      <c r="C124" s="5">
        <v>171444</v>
      </c>
      <c r="D124" s="5" t="s">
        <v>91</v>
      </c>
      <c r="E124" s="5">
        <v>37</v>
      </c>
      <c r="F124" s="28" t="s">
        <v>261</v>
      </c>
    </row>
    <row r="125" spans="1:6">
      <c r="A125" s="5">
        <v>195</v>
      </c>
      <c r="B125" s="12">
        <v>45321</v>
      </c>
      <c r="C125" s="5">
        <v>688897</v>
      </c>
      <c r="D125" s="5" t="s">
        <v>76</v>
      </c>
      <c r="E125" s="5">
        <v>26</v>
      </c>
      <c r="F125" s="28" t="s">
        <v>262</v>
      </c>
    </row>
    <row r="126" spans="1:6">
      <c r="A126" s="5">
        <v>163</v>
      </c>
      <c r="B126" s="12">
        <v>45360</v>
      </c>
      <c r="C126" s="5">
        <v>443480</v>
      </c>
      <c r="D126" s="5" t="s">
        <v>82</v>
      </c>
      <c r="E126" s="5">
        <v>45</v>
      </c>
      <c r="F126" s="28" t="s">
        <v>263</v>
      </c>
    </row>
    <row r="127" spans="1:6">
      <c r="A127" s="5">
        <v>152</v>
      </c>
      <c r="B127" s="12">
        <v>45340</v>
      </c>
      <c r="C127" s="5">
        <v>171444</v>
      </c>
      <c r="D127" s="5" t="s">
        <v>103</v>
      </c>
      <c r="E127" s="5">
        <v>42</v>
      </c>
      <c r="F127" s="28" t="s">
        <v>264</v>
      </c>
    </row>
    <row r="128" spans="1:6">
      <c r="A128" s="5">
        <v>127</v>
      </c>
      <c r="B128" s="12">
        <v>45332</v>
      </c>
      <c r="C128" s="5">
        <v>171444</v>
      </c>
      <c r="D128" s="5" t="s">
        <v>82</v>
      </c>
      <c r="E128" s="5">
        <v>38</v>
      </c>
      <c r="F128" s="28" t="s">
        <v>265</v>
      </c>
    </row>
    <row r="129" spans="1:6">
      <c r="A129" s="5">
        <v>186</v>
      </c>
      <c r="B129" s="12">
        <v>45334</v>
      </c>
      <c r="C129" s="5">
        <v>243994</v>
      </c>
      <c r="D129" s="5" t="s">
        <v>98</v>
      </c>
      <c r="E129" s="5">
        <v>7</v>
      </c>
      <c r="F129" s="28" t="s">
        <v>266</v>
      </c>
    </row>
    <row r="130" spans="1:6">
      <c r="A130" s="5">
        <v>152</v>
      </c>
      <c r="B130" s="12">
        <v>45373</v>
      </c>
      <c r="C130" s="5">
        <v>171444</v>
      </c>
      <c r="D130" s="5" t="s">
        <v>105</v>
      </c>
      <c r="E130" s="5">
        <v>32</v>
      </c>
      <c r="F130" s="28" t="s">
        <v>267</v>
      </c>
    </row>
    <row r="131" spans="1:6">
      <c r="A131" s="5">
        <v>157</v>
      </c>
      <c r="B131" s="12">
        <v>45305</v>
      </c>
      <c r="C131" s="5">
        <v>688897</v>
      </c>
      <c r="D131" s="5" t="s">
        <v>91</v>
      </c>
      <c r="E131" s="5">
        <v>8</v>
      </c>
      <c r="F131" s="28" t="s">
        <v>268</v>
      </c>
    </row>
    <row r="132" spans="1:6">
      <c r="A132" s="5">
        <v>108</v>
      </c>
      <c r="B132" s="12">
        <v>45318</v>
      </c>
      <c r="C132" s="5">
        <v>466126</v>
      </c>
      <c r="D132" s="5" t="s">
        <v>95</v>
      </c>
      <c r="E132" s="5">
        <v>12</v>
      </c>
      <c r="F132" s="28" t="s">
        <v>269</v>
      </c>
    </row>
    <row r="133" spans="1:6">
      <c r="A133" s="5">
        <v>153</v>
      </c>
      <c r="B133" s="12">
        <v>45308</v>
      </c>
      <c r="C133" s="5">
        <v>243994</v>
      </c>
      <c r="D133" s="5" t="s">
        <v>89</v>
      </c>
      <c r="E133" s="5">
        <v>7</v>
      </c>
      <c r="F133" s="28" t="s">
        <v>270</v>
      </c>
    </row>
    <row r="134" spans="1:6">
      <c r="A134" s="5">
        <v>195</v>
      </c>
      <c r="B134" s="12">
        <v>45362</v>
      </c>
      <c r="C134" s="5">
        <v>466126</v>
      </c>
      <c r="D134" s="5" t="s">
        <v>100</v>
      </c>
      <c r="E134" s="5">
        <v>25</v>
      </c>
      <c r="F134" s="28" t="s">
        <v>271</v>
      </c>
    </row>
    <row r="135" spans="1:6">
      <c r="A135" s="5">
        <v>153</v>
      </c>
      <c r="B135" s="12">
        <v>45355</v>
      </c>
      <c r="C135" s="5">
        <v>688897</v>
      </c>
      <c r="D135" s="5" t="s">
        <v>82</v>
      </c>
      <c r="E135" s="5">
        <v>43</v>
      </c>
      <c r="F135" s="28" t="s">
        <v>272</v>
      </c>
    </row>
    <row r="136" spans="1:6">
      <c r="A136" s="5">
        <v>153</v>
      </c>
      <c r="B136" s="12">
        <v>45368</v>
      </c>
      <c r="C136" s="5">
        <v>688897</v>
      </c>
      <c r="D136" s="5" t="s">
        <v>89</v>
      </c>
      <c r="E136" s="5">
        <v>19</v>
      </c>
      <c r="F136" s="28" t="s">
        <v>273</v>
      </c>
    </row>
    <row r="137" spans="1:6">
      <c r="A137" s="5">
        <v>186</v>
      </c>
      <c r="B137" s="12">
        <v>45373</v>
      </c>
      <c r="C137" s="5">
        <v>243994</v>
      </c>
      <c r="D137" s="5" t="s">
        <v>82</v>
      </c>
      <c r="E137" s="5">
        <v>9</v>
      </c>
      <c r="F137" s="28" t="s">
        <v>274</v>
      </c>
    </row>
    <row r="138" spans="1:6">
      <c r="A138" s="5">
        <v>179</v>
      </c>
      <c r="B138" s="12">
        <v>45305</v>
      </c>
      <c r="C138" s="5">
        <v>243994</v>
      </c>
      <c r="D138" s="5" t="s">
        <v>91</v>
      </c>
      <c r="E138" s="5">
        <v>32</v>
      </c>
      <c r="F138" s="28" t="s">
        <v>275</v>
      </c>
    </row>
    <row r="139" spans="1:6">
      <c r="A139" s="5">
        <v>186</v>
      </c>
      <c r="B139" s="12">
        <v>45313</v>
      </c>
      <c r="C139" s="5">
        <v>243994</v>
      </c>
      <c r="D139" s="5" t="s">
        <v>84</v>
      </c>
      <c r="E139" s="5">
        <v>50</v>
      </c>
      <c r="F139" s="28" t="s">
        <v>276</v>
      </c>
    </row>
    <row r="140" spans="1:6">
      <c r="A140" s="5">
        <v>179</v>
      </c>
      <c r="B140" s="12">
        <v>45300</v>
      </c>
      <c r="C140" s="5">
        <v>243994</v>
      </c>
      <c r="D140" s="5" t="s">
        <v>87</v>
      </c>
      <c r="E140" s="5">
        <v>13</v>
      </c>
      <c r="F140" s="28" t="s">
        <v>277</v>
      </c>
    </row>
    <row r="141" spans="1:6">
      <c r="A141" s="5">
        <v>157</v>
      </c>
      <c r="B141" s="12">
        <v>45295</v>
      </c>
      <c r="C141" s="5">
        <v>688897</v>
      </c>
      <c r="D141" s="5" t="s">
        <v>105</v>
      </c>
      <c r="E141" s="5">
        <v>4</v>
      </c>
      <c r="F141" s="28" t="s">
        <v>278</v>
      </c>
    </row>
    <row r="142" spans="1:6">
      <c r="A142" s="5">
        <v>151</v>
      </c>
      <c r="B142" s="12">
        <v>45295</v>
      </c>
      <c r="C142" s="5">
        <v>443480</v>
      </c>
      <c r="D142" s="5" t="s">
        <v>105</v>
      </c>
      <c r="E142" s="5">
        <v>34</v>
      </c>
      <c r="F142" s="28" t="s">
        <v>279</v>
      </c>
    </row>
    <row r="143" spans="1:6">
      <c r="A143" s="5">
        <v>163</v>
      </c>
      <c r="B143" s="12">
        <v>45335</v>
      </c>
      <c r="C143" s="5">
        <v>443480</v>
      </c>
      <c r="D143" s="5" t="s">
        <v>89</v>
      </c>
      <c r="E143" s="5">
        <v>20</v>
      </c>
      <c r="F143" s="28" t="s">
        <v>280</v>
      </c>
    </row>
    <row r="144" spans="1:6">
      <c r="A144" s="5">
        <v>127</v>
      </c>
      <c r="B144" s="12">
        <v>45339</v>
      </c>
      <c r="C144" s="5">
        <v>171444</v>
      </c>
      <c r="D144" s="5" t="s">
        <v>107</v>
      </c>
      <c r="E144" s="5">
        <v>21</v>
      </c>
      <c r="F144" s="28" t="s">
        <v>281</v>
      </c>
    </row>
    <row r="145" spans="1:6">
      <c r="A145" s="5">
        <v>179</v>
      </c>
      <c r="B145" s="12">
        <v>45299</v>
      </c>
      <c r="C145" s="5">
        <v>243994</v>
      </c>
      <c r="D145" s="5" t="s">
        <v>79</v>
      </c>
      <c r="E145" s="5">
        <v>35</v>
      </c>
      <c r="F145" s="28" t="s">
        <v>282</v>
      </c>
    </row>
    <row r="146" spans="1:6">
      <c r="A146" s="5">
        <v>179</v>
      </c>
      <c r="B146" s="12">
        <v>45361</v>
      </c>
      <c r="C146" s="5">
        <v>243994</v>
      </c>
      <c r="D146" s="5" t="s">
        <v>76</v>
      </c>
      <c r="E146" s="5">
        <v>26</v>
      </c>
      <c r="F146" s="28" t="s">
        <v>283</v>
      </c>
    </row>
    <row r="147" spans="1:6">
      <c r="A147" s="5">
        <v>151</v>
      </c>
      <c r="B147" s="12">
        <v>45326</v>
      </c>
      <c r="C147" s="5">
        <v>171444</v>
      </c>
      <c r="D147" s="5" t="s">
        <v>103</v>
      </c>
      <c r="E147" s="5">
        <v>11</v>
      </c>
      <c r="F147" s="28" t="s">
        <v>284</v>
      </c>
    </row>
    <row r="148" spans="1:6">
      <c r="A148" s="5">
        <v>195</v>
      </c>
      <c r="B148" s="12">
        <v>45323</v>
      </c>
      <c r="C148" s="5">
        <v>688897</v>
      </c>
      <c r="D148" s="5" t="s">
        <v>107</v>
      </c>
      <c r="E148" s="5">
        <v>30</v>
      </c>
      <c r="F148" s="28" t="s">
        <v>285</v>
      </c>
    </row>
    <row r="149" spans="1:6">
      <c r="A149" s="5">
        <v>152</v>
      </c>
      <c r="B149" s="12">
        <v>45365</v>
      </c>
      <c r="C149" s="5">
        <v>171444</v>
      </c>
      <c r="D149" s="5" t="s">
        <v>103</v>
      </c>
      <c r="E149" s="5">
        <v>40</v>
      </c>
      <c r="F149" s="28" t="s">
        <v>286</v>
      </c>
    </row>
    <row r="150" spans="1:6">
      <c r="A150" s="5">
        <v>127</v>
      </c>
      <c r="B150" s="12">
        <v>45327</v>
      </c>
      <c r="C150" s="5">
        <v>171444</v>
      </c>
      <c r="D150" s="5" t="s">
        <v>93</v>
      </c>
      <c r="E150" s="5">
        <v>14</v>
      </c>
      <c r="F150" s="28" t="s">
        <v>287</v>
      </c>
    </row>
    <row r="151" spans="1:6">
      <c r="A151" s="5">
        <v>163</v>
      </c>
      <c r="B151" s="12">
        <v>45360</v>
      </c>
      <c r="C151" s="5">
        <v>443480</v>
      </c>
      <c r="D151" s="5" t="s">
        <v>93</v>
      </c>
      <c r="E151" s="5">
        <v>5</v>
      </c>
      <c r="F151" s="28" t="s">
        <v>288</v>
      </c>
    </row>
    <row r="152" spans="1:6">
      <c r="A152" s="5">
        <v>195</v>
      </c>
      <c r="B152" s="12">
        <v>45359</v>
      </c>
      <c r="C152" s="5">
        <v>466126</v>
      </c>
      <c r="D152" s="5" t="s">
        <v>87</v>
      </c>
      <c r="E152" s="5">
        <v>48</v>
      </c>
      <c r="F152" s="28" t="s">
        <v>289</v>
      </c>
    </row>
    <row r="153" spans="1:6">
      <c r="A153" s="5">
        <v>186</v>
      </c>
      <c r="B153" s="12">
        <v>45378</v>
      </c>
      <c r="C153" s="5">
        <v>243994</v>
      </c>
      <c r="D153" s="5" t="s">
        <v>93</v>
      </c>
      <c r="E153" s="5">
        <v>19</v>
      </c>
      <c r="F153" s="28" t="s">
        <v>290</v>
      </c>
    </row>
    <row r="154" spans="1:6">
      <c r="A154" s="5">
        <v>127</v>
      </c>
      <c r="B154" s="12">
        <v>45357</v>
      </c>
      <c r="C154" s="5">
        <v>171444</v>
      </c>
      <c r="D154" s="5" t="s">
        <v>95</v>
      </c>
      <c r="E154" s="5">
        <v>35</v>
      </c>
      <c r="F154" s="28" t="s">
        <v>291</v>
      </c>
    </row>
    <row r="155" spans="1:6">
      <c r="A155" s="5">
        <v>157</v>
      </c>
      <c r="B155" s="12">
        <v>45314</v>
      </c>
      <c r="C155" s="5">
        <v>688897</v>
      </c>
      <c r="D155" s="5" t="s">
        <v>76</v>
      </c>
      <c r="E155" s="5">
        <v>6</v>
      </c>
      <c r="F155" s="28" t="s">
        <v>292</v>
      </c>
    </row>
    <row r="156" spans="1:6">
      <c r="A156" s="5">
        <v>195</v>
      </c>
      <c r="B156" s="12">
        <v>45365</v>
      </c>
      <c r="C156" s="5">
        <v>466126</v>
      </c>
      <c r="D156" s="5" t="s">
        <v>87</v>
      </c>
      <c r="E156" s="5">
        <v>39</v>
      </c>
      <c r="F156" s="28" t="s">
        <v>293</v>
      </c>
    </row>
    <row r="157" spans="1:6">
      <c r="A157" s="5">
        <v>179</v>
      </c>
      <c r="B157" s="12">
        <v>45353</v>
      </c>
      <c r="C157" s="5">
        <v>243994</v>
      </c>
      <c r="D157" s="5" t="s">
        <v>105</v>
      </c>
      <c r="E157" s="5">
        <v>6</v>
      </c>
      <c r="F157" s="28" t="s">
        <v>294</v>
      </c>
    </row>
    <row r="158" spans="1:6">
      <c r="A158" s="5">
        <v>108</v>
      </c>
      <c r="B158" s="12">
        <v>45327</v>
      </c>
      <c r="C158" s="5">
        <v>466126</v>
      </c>
      <c r="D158" s="5" t="s">
        <v>95</v>
      </c>
      <c r="E158" s="5">
        <v>33</v>
      </c>
      <c r="F158" s="28" t="s">
        <v>295</v>
      </c>
    </row>
    <row r="159" spans="1:6">
      <c r="A159" s="5">
        <v>195</v>
      </c>
      <c r="B159" s="12">
        <v>45366</v>
      </c>
      <c r="C159" s="5">
        <v>466126</v>
      </c>
      <c r="D159" s="5" t="s">
        <v>100</v>
      </c>
      <c r="E159" s="5">
        <v>17</v>
      </c>
      <c r="F159" s="28" t="s">
        <v>296</v>
      </c>
    </row>
    <row r="160" spans="1:6">
      <c r="A160" s="5">
        <v>179</v>
      </c>
      <c r="B160" s="12">
        <v>45354</v>
      </c>
      <c r="C160" s="5">
        <v>243994</v>
      </c>
      <c r="D160" s="5" t="s">
        <v>105</v>
      </c>
      <c r="E160" s="5">
        <v>9</v>
      </c>
      <c r="F160" s="28" t="s">
        <v>297</v>
      </c>
    </row>
    <row r="161" spans="1:6">
      <c r="A161" s="5">
        <v>153</v>
      </c>
      <c r="B161" s="12">
        <v>45336</v>
      </c>
      <c r="C161" s="5">
        <v>688897</v>
      </c>
      <c r="D161" s="5" t="s">
        <v>89</v>
      </c>
      <c r="E161" s="5">
        <v>5</v>
      </c>
      <c r="F161" s="28" t="s">
        <v>298</v>
      </c>
    </row>
    <row r="162" spans="1:6">
      <c r="A162" s="5">
        <v>151</v>
      </c>
      <c r="B162" s="12">
        <v>45315</v>
      </c>
      <c r="C162" s="5">
        <v>443480</v>
      </c>
      <c r="D162" s="5" t="s">
        <v>87</v>
      </c>
      <c r="E162" s="5">
        <v>20</v>
      </c>
      <c r="F162" s="28" t="s">
        <v>299</v>
      </c>
    </row>
    <row r="163" spans="1:6">
      <c r="A163" s="5">
        <v>195</v>
      </c>
      <c r="B163" s="12">
        <v>45335</v>
      </c>
      <c r="C163" s="5">
        <v>466126</v>
      </c>
      <c r="D163" s="5" t="s">
        <v>79</v>
      </c>
      <c r="E163" s="5">
        <v>20</v>
      </c>
      <c r="F163" s="28" t="s">
        <v>300</v>
      </c>
    </row>
    <row r="164" spans="1:6">
      <c r="A164" s="5">
        <v>195</v>
      </c>
      <c r="B164" s="12">
        <v>45298</v>
      </c>
      <c r="C164" s="5">
        <v>466126</v>
      </c>
      <c r="D164" s="5" t="s">
        <v>76</v>
      </c>
      <c r="E164" s="5">
        <v>50</v>
      </c>
      <c r="F164" s="28" t="s">
        <v>301</v>
      </c>
    </row>
    <row r="165" spans="1:6">
      <c r="A165" s="5">
        <v>152</v>
      </c>
      <c r="B165" s="12">
        <v>45331</v>
      </c>
      <c r="C165" s="5">
        <v>171444</v>
      </c>
      <c r="D165" s="5" t="s">
        <v>87</v>
      </c>
      <c r="E165" s="5">
        <v>34</v>
      </c>
      <c r="F165" s="28" t="s">
        <v>302</v>
      </c>
    </row>
    <row r="166" spans="1:6">
      <c r="A166" s="5">
        <v>179</v>
      </c>
      <c r="B166" s="12">
        <v>45318</v>
      </c>
      <c r="C166" s="5">
        <v>243994</v>
      </c>
      <c r="D166" s="5" t="s">
        <v>103</v>
      </c>
      <c r="E166" s="5">
        <v>33</v>
      </c>
      <c r="F166" s="28" t="s">
        <v>303</v>
      </c>
    </row>
    <row r="167" spans="1:6">
      <c r="A167" s="5">
        <v>157</v>
      </c>
      <c r="B167" s="12">
        <v>45356</v>
      </c>
      <c r="C167" s="5">
        <v>688897</v>
      </c>
      <c r="D167" s="5" t="s">
        <v>100</v>
      </c>
      <c r="E167" s="5">
        <v>5</v>
      </c>
      <c r="F167" s="28" t="s">
        <v>304</v>
      </c>
    </row>
    <row r="168" spans="1:6">
      <c r="A168" s="5">
        <v>186</v>
      </c>
      <c r="B168" s="12">
        <v>45303</v>
      </c>
      <c r="C168" s="5">
        <v>243994</v>
      </c>
      <c r="D168" s="5" t="s">
        <v>82</v>
      </c>
      <c r="E168" s="5">
        <v>20</v>
      </c>
      <c r="F168" s="28" t="s">
        <v>305</v>
      </c>
    </row>
    <row r="169" spans="1:6">
      <c r="A169" s="5">
        <v>151</v>
      </c>
      <c r="B169" s="12">
        <v>45313</v>
      </c>
      <c r="C169" s="5">
        <v>443480</v>
      </c>
      <c r="D169" s="5" t="s">
        <v>91</v>
      </c>
      <c r="E169" s="5">
        <v>10</v>
      </c>
      <c r="F169" s="28" t="s">
        <v>306</v>
      </c>
    </row>
    <row r="170" spans="1:6">
      <c r="A170" s="5">
        <v>179</v>
      </c>
      <c r="B170" s="12">
        <v>45323</v>
      </c>
      <c r="C170" s="5">
        <v>243994</v>
      </c>
      <c r="D170" s="5" t="s">
        <v>91</v>
      </c>
      <c r="E170" s="5">
        <v>50</v>
      </c>
      <c r="F170" s="28" t="s">
        <v>307</v>
      </c>
    </row>
    <row r="171" spans="1:6">
      <c r="A171" s="5">
        <v>186</v>
      </c>
      <c r="B171" s="12">
        <v>45377</v>
      </c>
      <c r="C171" s="5">
        <v>243994</v>
      </c>
      <c r="D171" s="5" t="s">
        <v>93</v>
      </c>
      <c r="E171" s="5">
        <v>10</v>
      </c>
      <c r="F171" s="28" t="s">
        <v>308</v>
      </c>
    </row>
    <row r="172" spans="1:6">
      <c r="A172" s="5">
        <v>152</v>
      </c>
      <c r="B172" s="12">
        <v>45330</v>
      </c>
      <c r="C172" s="5">
        <v>171444</v>
      </c>
      <c r="D172" s="5" t="s">
        <v>76</v>
      </c>
      <c r="E172" s="5">
        <v>3</v>
      </c>
      <c r="F172" s="28" t="s">
        <v>309</v>
      </c>
    </row>
    <row r="173" spans="1:6">
      <c r="A173" s="5">
        <v>127</v>
      </c>
      <c r="B173" s="12">
        <v>45312</v>
      </c>
      <c r="C173" s="5">
        <v>171444</v>
      </c>
      <c r="D173" s="5" t="s">
        <v>89</v>
      </c>
      <c r="E173" s="5">
        <v>25</v>
      </c>
      <c r="F173" s="28" t="s">
        <v>310</v>
      </c>
    </row>
    <row r="174" spans="1:6">
      <c r="A174" s="5">
        <v>157</v>
      </c>
      <c r="B174" s="12">
        <v>45296</v>
      </c>
      <c r="C174" s="5">
        <v>688897</v>
      </c>
      <c r="D174" s="5" t="s">
        <v>79</v>
      </c>
      <c r="E174" s="5">
        <v>18</v>
      </c>
      <c r="F174" s="28" t="s">
        <v>311</v>
      </c>
    </row>
    <row r="175" spans="1:6">
      <c r="A175" s="5">
        <v>108</v>
      </c>
      <c r="B175" s="12">
        <v>45317</v>
      </c>
      <c r="C175" s="5">
        <v>466126</v>
      </c>
      <c r="D175" s="5" t="s">
        <v>89</v>
      </c>
      <c r="E175" s="5">
        <v>24</v>
      </c>
      <c r="F175" s="28" t="s">
        <v>312</v>
      </c>
    </row>
    <row r="176" spans="1:6">
      <c r="A176" s="5">
        <v>186</v>
      </c>
      <c r="B176" s="12">
        <v>45309</v>
      </c>
      <c r="C176" s="5">
        <v>243994</v>
      </c>
      <c r="D176" s="5" t="s">
        <v>107</v>
      </c>
      <c r="E176" s="5">
        <v>37</v>
      </c>
      <c r="F176" s="28" t="s">
        <v>313</v>
      </c>
    </row>
    <row r="177" spans="1:6">
      <c r="A177" s="5">
        <v>179</v>
      </c>
      <c r="B177" s="12">
        <v>45304</v>
      </c>
      <c r="C177" s="5">
        <v>243994</v>
      </c>
      <c r="D177" s="5" t="s">
        <v>76</v>
      </c>
      <c r="E177" s="5">
        <v>6</v>
      </c>
      <c r="F177" s="28" t="s">
        <v>314</v>
      </c>
    </row>
    <row r="178" spans="1:6">
      <c r="A178" s="5">
        <v>127</v>
      </c>
      <c r="B178" s="12">
        <v>45293</v>
      </c>
      <c r="C178" s="5">
        <v>171444</v>
      </c>
      <c r="D178" s="5" t="s">
        <v>82</v>
      </c>
      <c r="E178" s="5">
        <v>24</v>
      </c>
      <c r="F178" s="28" t="s">
        <v>315</v>
      </c>
    </row>
    <row r="179" spans="1:6">
      <c r="A179" s="5">
        <v>195</v>
      </c>
      <c r="B179" s="12">
        <v>45341</v>
      </c>
      <c r="C179" s="5">
        <v>443480</v>
      </c>
      <c r="D179" s="5" t="s">
        <v>91</v>
      </c>
      <c r="E179" s="5">
        <v>20</v>
      </c>
      <c r="F179" s="28" t="s">
        <v>316</v>
      </c>
    </row>
    <row r="180" spans="1:6">
      <c r="A180" s="5">
        <v>108</v>
      </c>
      <c r="B180" s="12">
        <v>45363</v>
      </c>
      <c r="C180" s="5">
        <v>466126</v>
      </c>
      <c r="D180" s="5" t="s">
        <v>82</v>
      </c>
      <c r="E180" s="5">
        <v>2</v>
      </c>
      <c r="F180" s="28" t="s">
        <v>317</v>
      </c>
    </row>
    <row r="181" spans="1:6">
      <c r="A181" s="5">
        <v>179</v>
      </c>
      <c r="B181" s="12">
        <v>45334</v>
      </c>
      <c r="C181" s="5">
        <v>243994</v>
      </c>
      <c r="D181" s="5" t="s">
        <v>87</v>
      </c>
      <c r="E181" s="5">
        <v>5</v>
      </c>
      <c r="F181" s="28" t="s">
        <v>318</v>
      </c>
    </row>
    <row r="182" spans="1:6">
      <c r="A182" s="5">
        <v>195</v>
      </c>
      <c r="B182" s="12">
        <v>45338</v>
      </c>
      <c r="C182" s="5">
        <v>466126</v>
      </c>
      <c r="D182" s="5" t="s">
        <v>103</v>
      </c>
      <c r="E182" s="5">
        <v>45</v>
      </c>
      <c r="F182" s="28" t="s">
        <v>319</v>
      </c>
    </row>
    <row r="183" spans="1:6">
      <c r="A183" s="5">
        <v>153</v>
      </c>
      <c r="B183" s="12">
        <v>45343</v>
      </c>
      <c r="C183" s="5">
        <v>688897</v>
      </c>
      <c r="D183" s="5" t="s">
        <v>98</v>
      </c>
      <c r="E183" s="5">
        <v>16</v>
      </c>
      <c r="F183" s="28" t="s">
        <v>320</v>
      </c>
    </row>
    <row r="184" spans="1:6">
      <c r="A184" s="5">
        <v>127</v>
      </c>
      <c r="B184" s="12">
        <v>45366</v>
      </c>
      <c r="C184" s="5">
        <v>171444</v>
      </c>
      <c r="D184" s="5" t="s">
        <v>98</v>
      </c>
      <c r="E184" s="5">
        <v>37</v>
      </c>
      <c r="F184" s="28" t="s">
        <v>321</v>
      </c>
    </row>
    <row r="185" spans="1:6">
      <c r="A185" s="5">
        <v>186</v>
      </c>
      <c r="B185" s="12">
        <v>45295</v>
      </c>
      <c r="C185" s="5">
        <v>171444</v>
      </c>
      <c r="D185" s="5" t="s">
        <v>84</v>
      </c>
      <c r="E185" s="5">
        <v>2</v>
      </c>
      <c r="F185" s="28" t="s">
        <v>322</v>
      </c>
    </row>
    <row r="186" spans="1:6">
      <c r="A186" s="5">
        <v>179</v>
      </c>
      <c r="B186" s="12">
        <v>45303</v>
      </c>
      <c r="C186" s="5">
        <v>243994</v>
      </c>
      <c r="D186" s="5" t="s">
        <v>87</v>
      </c>
      <c r="E186" s="5">
        <v>31</v>
      </c>
      <c r="F186" s="28" t="s">
        <v>323</v>
      </c>
    </row>
    <row r="187" spans="1:6">
      <c r="A187" s="5">
        <v>151</v>
      </c>
      <c r="B187" s="12">
        <v>45380</v>
      </c>
      <c r="C187" s="5">
        <v>443480</v>
      </c>
      <c r="D187" s="5" t="s">
        <v>87</v>
      </c>
      <c r="E187" s="5">
        <v>14</v>
      </c>
      <c r="F187" s="28" t="s">
        <v>324</v>
      </c>
    </row>
    <row r="188" spans="1:6">
      <c r="A188" s="5">
        <v>127</v>
      </c>
      <c r="B188" s="12">
        <v>45359</v>
      </c>
      <c r="C188" s="5">
        <v>171444</v>
      </c>
      <c r="D188" s="5" t="s">
        <v>95</v>
      </c>
      <c r="E188" s="5">
        <v>5</v>
      </c>
      <c r="F188" s="28" t="s">
        <v>325</v>
      </c>
    </row>
    <row r="189" spans="1:6">
      <c r="A189" s="5">
        <v>195</v>
      </c>
      <c r="B189" s="12">
        <v>45372</v>
      </c>
      <c r="C189" s="5">
        <v>466126</v>
      </c>
      <c r="D189" s="5" t="s">
        <v>103</v>
      </c>
      <c r="E189" s="5">
        <v>9</v>
      </c>
      <c r="F189" s="28" t="s">
        <v>326</v>
      </c>
    </row>
    <row r="190" spans="1:6">
      <c r="A190" s="5">
        <v>186</v>
      </c>
      <c r="B190" s="12">
        <v>45329</v>
      </c>
      <c r="C190" s="5">
        <v>243994</v>
      </c>
      <c r="D190" s="5" t="s">
        <v>84</v>
      </c>
      <c r="E190" s="5">
        <v>32</v>
      </c>
      <c r="F190" s="28" t="s">
        <v>327</v>
      </c>
    </row>
    <row r="191" spans="1:6">
      <c r="A191" s="5">
        <v>157</v>
      </c>
      <c r="B191" s="12">
        <v>45304</v>
      </c>
      <c r="C191" s="5">
        <v>688897</v>
      </c>
      <c r="D191" s="5" t="s">
        <v>100</v>
      </c>
      <c r="E191" s="5">
        <v>40</v>
      </c>
      <c r="F191" s="28" t="s">
        <v>328</v>
      </c>
    </row>
    <row r="192" spans="1:6">
      <c r="A192" s="5">
        <v>163</v>
      </c>
      <c r="B192" s="12">
        <v>45302</v>
      </c>
      <c r="C192" s="5">
        <v>443480</v>
      </c>
      <c r="D192" s="5" t="s">
        <v>89</v>
      </c>
      <c r="E192" s="5">
        <v>37</v>
      </c>
      <c r="F192" s="28" t="s">
        <v>329</v>
      </c>
    </row>
    <row r="193" spans="1:6">
      <c r="A193" s="5">
        <v>153</v>
      </c>
      <c r="B193" s="12">
        <v>45305</v>
      </c>
      <c r="C193" s="5">
        <v>688897</v>
      </c>
      <c r="D193" s="5" t="s">
        <v>95</v>
      </c>
      <c r="E193" s="5">
        <v>45</v>
      </c>
      <c r="F193" s="28" t="s">
        <v>330</v>
      </c>
    </row>
    <row r="194" spans="1:6">
      <c r="A194" s="5">
        <v>153</v>
      </c>
      <c r="B194" s="12">
        <v>45323</v>
      </c>
      <c r="C194" s="5">
        <v>688897</v>
      </c>
      <c r="D194" s="5" t="s">
        <v>93</v>
      </c>
      <c r="E194" s="5">
        <v>26</v>
      </c>
      <c r="F194" s="28" t="s">
        <v>331</v>
      </c>
    </row>
    <row r="195" spans="1:6">
      <c r="A195" s="5">
        <v>127</v>
      </c>
      <c r="B195" s="12">
        <v>45356</v>
      </c>
      <c r="C195" s="5">
        <v>171444</v>
      </c>
      <c r="D195" s="5" t="s">
        <v>82</v>
      </c>
      <c r="E195" s="5">
        <v>18</v>
      </c>
      <c r="F195" s="28" t="s">
        <v>332</v>
      </c>
    </row>
    <row r="196" spans="1:6">
      <c r="A196" s="5">
        <v>151</v>
      </c>
      <c r="B196" s="12">
        <v>45373</v>
      </c>
      <c r="C196" s="5">
        <v>443480</v>
      </c>
      <c r="D196" s="5" t="s">
        <v>76</v>
      </c>
      <c r="E196" s="5">
        <v>40</v>
      </c>
      <c r="F196" s="28" t="s">
        <v>333</v>
      </c>
    </row>
    <row r="197" spans="1:6">
      <c r="A197" s="5">
        <v>163</v>
      </c>
      <c r="B197" s="12">
        <v>45308</v>
      </c>
      <c r="C197" s="5">
        <v>443480</v>
      </c>
      <c r="D197" s="5" t="s">
        <v>84</v>
      </c>
      <c r="E197" s="5">
        <v>18</v>
      </c>
      <c r="F197" s="28" t="s">
        <v>334</v>
      </c>
    </row>
    <row r="198" spans="1:6">
      <c r="A198" s="5">
        <v>195</v>
      </c>
      <c r="B198" s="12">
        <v>45375</v>
      </c>
      <c r="C198" s="5">
        <v>466126</v>
      </c>
      <c r="D198" s="5" t="s">
        <v>100</v>
      </c>
      <c r="E198" s="5">
        <v>19</v>
      </c>
      <c r="F198" s="28" t="s">
        <v>335</v>
      </c>
    </row>
    <row r="199" spans="1:6">
      <c r="A199" s="5">
        <v>186</v>
      </c>
      <c r="B199" s="12">
        <v>45369</v>
      </c>
      <c r="C199" s="5">
        <v>243994</v>
      </c>
      <c r="D199" s="5" t="s">
        <v>98</v>
      </c>
      <c r="E199" s="5">
        <v>3</v>
      </c>
      <c r="F199" s="28" t="s">
        <v>336</v>
      </c>
    </row>
    <row r="200" spans="1:6">
      <c r="A200" s="5">
        <v>186</v>
      </c>
      <c r="B200" s="12">
        <v>45356</v>
      </c>
      <c r="C200" s="5">
        <v>243994</v>
      </c>
      <c r="D200" s="5" t="s">
        <v>95</v>
      </c>
      <c r="E200" s="5">
        <v>7</v>
      </c>
      <c r="F200" s="28" t="s">
        <v>337</v>
      </c>
    </row>
    <row r="201" spans="1:6">
      <c r="A201" s="5">
        <v>163</v>
      </c>
      <c r="B201" s="12">
        <v>45380</v>
      </c>
      <c r="C201" s="5">
        <v>443480</v>
      </c>
      <c r="D201" s="5" t="s">
        <v>82</v>
      </c>
      <c r="E201" s="5">
        <v>17</v>
      </c>
      <c r="F201" s="28" t="s">
        <v>338</v>
      </c>
    </row>
    <row r="202" spans="1:6">
      <c r="A202" s="5">
        <v>195</v>
      </c>
      <c r="B202" s="12">
        <v>45343</v>
      </c>
      <c r="C202" s="5">
        <v>466126</v>
      </c>
      <c r="D202" s="5" t="s">
        <v>105</v>
      </c>
      <c r="E202" s="5">
        <v>45</v>
      </c>
      <c r="F202" s="28" t="s">
        <v>339</v>
      </c>
    </row>
    <row r="203" spans="1:6">
      <c r="A203" s="5">
        <v>127</v>
      </c>
      <c r="B203" s="12">
        <v>45334</v>
      </c>
      <c r="C203" s="5">
        <v>171444</v>
      </c>
      <c r="D203" s="5" t="s">
        <v>107</v>
      </c>
      <c r="E203" s="5">
        <v>7</v>
      </c>
      <c r="F203" s="28" t="s">
        <v>340</v>
      </c>
    </row>
    <row r="204" spans="1:6">
      <c r="A204" s="5">
        <v>157</v>
      </c>
      <c r="B204" s="12">
        <v>45354</v>
      </c>
      <c r="C204" s="5">
        <v>688897</v>
      </c>
      <c r="D204" s="5" t="s">
        <v>103</v>
      </c>
      <c r="E204" s="5">
        <v>37</v>
      </c>
      <c r="F204" s="28" t="s">
        <v>341</v>
      </c>
    </row>
    <row r="205" spans="1:6">
      <c r="A205" s="5">
        <v>179</v>
      </c>
      <c r="B205" s="12">
        <v>45320</v>
      </c>
      <c r="C205" s="5">
        <v>243994</v>
      </c>
      <c r="D205" s="5" t="s">
        <v>76</v>
      </c>
      <c r="E205" s="5">
        <v>15</v>
      </c>
      <c r="F205" s="28" t="s">
        <v>342</v>
      </c>
    </row>
    <row r="206" spans="1:6">
      <c r="A206" s="5">
        <v>151</v>
      </c>
      <c r="B206" s="12">
        <v>45375</v>
      </c>
      <c r="C206" s="5">
        <v>443480</v>
      </c>
      <c r="D206" s="5" t="s">
        <v>76</v>
      </c>
      <c r="E206" s="5">
        <v>6</v>
      </c>
      <c r="F206" s="28" t="s">
        <v>343</v>
      </c>
    </row>
    <row r="207" spans="1:6">
      <c r="A207" s="5">
        <v>179</v>
      </c>
      <c r="B207" s="12">
        <v>45312</v>
      </c>
      <c r="C207" s="5">
        <v>243994</v>
      </c>
      <c r="D207" s="5" t="s">
        <v>103</v>
      </c>
      <c r="E207" s="5">
        <v>19</v>
      </c>
      <c r="F207" s="28" t="s">
        <v>344</v>
      </c>
    </row>
    <row r="208" spans="1:6">
      <c r="A208" s="5">
        <v>153</v>
      </c>
      <c r="B208" s="12">
        <v>45370</v>
      </c>
      <c r="C208" s="5">
        <v>688897</v>
      </c>
      <c r="D208" s="5" t="s">
        <v>84</v>
      </c>
      <c r="E208" s="5">
        <v>14</v>
      </c>
      <c r="F208" s="28" t="s">
        <v>345</v>
      </c>
    </row>
    <row r="209" spans="1:6">
      <c r="A209" s="5">
        <v>195</v>
      </c>
      <c r="B209" s="12">
        <v>45341</v>
      </c>
      <c r="C209" s="5">
        <v>466126</v>
      </c>
      <c r="D209" s="5" t="s">
        <v>91</v>
      </c>
      <c r="E209" s="5">
        <v>5</v>
      </c>
      <c r="F209" s="28" t="s">
        <v>346</v>
      </c>
    </row>
    <row r="210" spans="1:6">
      <c r="A210" s="5">
        <v>157</v>
      </c>
      <c r="B210" s="12">
        <v>45353</v>
      </c>
      <c r="C210" s="5">
        <v>688897</v>
      </c>
      <c r="D210" s="5" t="s">
        <v>103</v>
      </c>
      <c r="E210" s="5">
        <v>21</v>
      </c>
      <c r="F210" s="28" t="s">
        <v>347</v>
      </c>
    </row>
    <row r="211" spans="1:6">
      <c r="A211" s="5">
        <v>108</v>
      </c>
      <c r="B211" s="12">
        <v>45362</v>
      </c>
      <c r="C211" s="5">
        <v>466126</v>
      </c>
      <c r="D211" s="5" t="s">
        <v>93</v>
      </c>
      <c r="E211" s="5">
        <v>23</v>
      </c>
      <c r="F211" s="28" t="s">
        <v>348</v>
      </c>
    </row>
    <row r="212" spans="1:6">
      <c r="A212" s="5">
        <v>186</v>
      </c>
      <c r="B212" s="12">
        <v>45367</v>
      </c>
      <c r="C212" s="5">
        <v>243994</v>
      </c>
      <c r="D212" s="5" t="s">
        <v>98</v>
      </c>
      <c r="E212" s="5">
        <v>30</v>
      </c>
      <c r="F212" s="28" t="s">
        <v>349</v>
      </c>
    </row>
    <row r="213" spans="1:6">
      <c r="A213" s="5">
        <v>108</v>
      </c>
      <c r="B213" s="12">
        <v>45337</v>
      </c>
      <c r="C213" s="5">
        <v>466126</v>
      </c>
      <c r="D213" s="5" t="s">
        <v>107</v>
      </c>
      <c r="E213" s="5">
        <v>35</v>
      </c>
      <c r="F213" s="28" t="s">
        <v>350</v>
      </c>
    </row>
    <row r="214" spans="1:6">
      <c r="A214" s="5">
        <v>153</v>
      </c>
      <c r="B214" s="12">
        <v>45317</v>
      </c>
      <c r="C214" s="5">
        <v>688897</v>
      </c>
      <c r="D214" s="5" t="s">
        <v>107</v>
      </c>
      <c r="E214" s="5">
        <v>28</v>
      </c>
      <c r="F214" s="28" t="s">
        <v>351</v>
      </c>
    </row>
    <row r="215" spans="1:6">
      <c r="A215" s="5">
        <v>151</v>
      </c>
      <c r="B215" s="12">
        <v>45373</v>
      </c>
      <c r="C215" s="5">
        <v>443480</v>
      </c>
      <c r="D215" s="5" t="s">
        <v>105</v>
      </c>
      <c r="E215" s="5">
        <v>31</v>
      </c>
      <c r="F215" s="28" t="s">
        <v>352</v>
      </c>
    </row>
    <row r="216" spans="1:6">
      <c r="A216" s="5">
        <v>108</v>
      </c>
      <c r="B216" s="12">
        <v>45369</v>
      </c>
      <c r="C216" s="5">
        <v>466126</v>
      </c>
      <c r="D216" s="5" t="s">
        <v>82</v>
      </c>
      <c r="E216" s="5">
        <v>14</v>
      </c>
      <c r="F216" s="28" t="s">
        <v>353</v>
      </c>
    </row>
    <row r="217" spans="1:6">
      <c r="A217" s="5">
        <v>108</v>
      </c>
      <c r="B217" s="12">
        <v>45308</v>
      </c>
      <c r="C217" s="5">
        <v>466126</v>
      </c>
      <c r="D217" s="5" t="s">
        <v>84</v>
      </c>
      <c r="E217" s="5">
        <v>26</v>
      </c>
      <c r="F217" s="28" t="s">
        <v>354</v>
      </c>
    </row>
    <row r="218" spans="1:6">
      <c r="A218" s="5">
        <v>179</v>
      </c>
      <c r="B218" s="12">
        <v>45337</v>
      </c>
      <c r="C218" s="5">
        <v>243994</v>
      </c>
      <c r="D218" s="5" t="s">
        <v>100</v>
      </c>
      <c r="E218" s="5">
        <v>7</v>
      </c>
      <c r="F218" s="28" t="s">
        <v>355</v>
      </c>
    </row>
    <row r="219" spans="1:6">
      <c r="A219" s="5">
        <v>108</v>
      </c>
      <c r="B219" s="12">
        <v>45318</v>
      </c>
      <c r="C219" s="5">
        <v>466126</v>
      </c>
      <c r="D219" s="5" t="s">
        <v>84</v>
      </c>
      <c r="E219" s="5">
        <v>13</v>
      </c>
      <c r="F219" s="28" t="s">
        <v>356</v>
      </c>
    </row>
    <row r="220" spans="1:6">
      <c r="A220" s="5">
        <v>153</v>
      </c>
      <c r="B220" s="12">
        <v>45296</v>
      </c>
      <c r="C220" s="5">
        <v>688897</v>
      </c>
      <c r="D220" s="5" t="s">
        <v>107</v>
      </c>
      <c r="E220" s="5">
        <v>50</v>
      </c>
      <c r="F220" s="28" t="s">
        <v>357</v>
      </c>
    </row>
    <row r="221" spans="1:6">
      <c r="A221" s="5">
        <v>163</v>
      </c>
      <c r="B221" s="12">
        <v>45308</v>
      </c>
      <c r="C221" s="5">
        <v>443480</v>
      </c>
      <c r="D221" s="5" t="s">
        <v>95</v>
      </c>
      <c r="E221" s="5">
        <v>50</v>
      </c>
      <c r="F221" s="28" t="s">
        <v>358</v>
      </c>
    </row>
    <row r="222" spans="1:6">
      <c r="A222" s="5">
        <v>186</v>
      </c>
      <c r="B222" s="12">
        <v>45307</v>
      </c>
      <c r="C222" s="5">
        <v>243994</v>
      </c>
      <c r="D222" s="5" t="s">
        <v>84</v>
      </c>
      <c r="E222" s="5">
        <v>37</v>
      </c>
      <c r="F222" s="28" t="s">
        <v>359</v>
      </c>
    </row>
    <row r="223" spans="1:6">
      <c r="A223" s="5">
        <v>108</v>
      </c>
      <c r="B223" s="12">
        <v>45326</v>
      </c>
      <c r="C223" s="5">
        <v>466126</v>
      </c>
      <c r="D223" s="5" t="s">
        <v>98</v>
      </c>
      <c r="E223" s="5">
        <v>40</v>
      </c>
      <c r="F223" s="28" t="s">
        <v>360</v>
      </c>
    </row>
    <row r="224" spans="1:6">
      <c r="A224" s="5">
        <v>153</v>
      </c>
      <c r="B224" s="12">
        <v>45362</v>
      </c>
      <c r="C224" s="5">
        <v>688897</v>
      </c>
      <c r="D224" s="5" t="s">
        <v>89</v>
      </c>
      <c r="E224" s="5">
        <v>28</v>
      </c>
      <c r="F224" s="28" t="s">
        <v>361</v>
      </c>
    </row>
    <row r="225" spans="1:6">
      <c r="A225" s="5">
        <v>127</v>
      </c>
      <c r="B225" s="12">
        <v>45370</v>
      </c>
      <c r="C225" s="5">
        <v>171444</v>
      </c>
      <c r="D225" s="5" t="s">
        <v>107</v>
      </c>
      <c r="E225" s="5">
        <v>46</v>
      </c>
      <c r="F225" s="28" t="s">
        <v>362</v>
      </c>
    </row>
    <row r="226" spans="1:6">
      <c r="A226" s="5">
        <v>152</v>
      </c>
      <c r="B226" s="12">
        <v>45327</v>
      </c>
      <c r="C226" s="5">
        <v>171444</v>
      </c>
      <c r="D226" s="5" t="s">
        <v>79</v>
      </c>
      <c r="E226" s="5">
        <v>29</v>
      </c>
      <c r="F226" s="28" t="s">
        <v>363</v>
      </c>
    </row>
    <row r="227" spans="1:6">
      <c r="A227" s="5">
        <v>152</v>
      </c>
      <c r="B227" s="12">
        <v>45332</v>
      </c>
      <c r="C227" s="5">
        <v>171444</v>
      </c>
      <c r="D227" s="5" t="s">
        <v>100</v>
      </c>
      <c r="E227" s="5">
        <v>19</v>
      </c>
      <c r="F227" s="28" t="s">
        <v>364</v>
      </c>
    </row>
    <row r="228" spans="1:6">
      <c r="A228" s="5">
        <v>152</v>
      </c>
      <c r="B228" s="12">
        <v>45360</v>
      </c>
      <c r="C228" s="5">
        <v>171444</v>
      </c>
      <c r="D228" s="5" t="s">
        <v>91</v>
      </c>
      <c r="E228" s="5">
        <v>33</v>
      </c>
      <c r="F228" s="28" t="s">
        <v>365</v>
      </c>
    </row>
    <row r="229" spans="1:6">
      <c r="A229" s="5">
        <v>151</v>
      </c>
      <c r="B229" s="12">
        <v>45334</v>
      </c>
      <c r="C229" s="5">
        <v>443480</v>
      </c>
      <c r="D229" s="5" t="s">
        <v>87</v>
      </c>
      <c r="E229" s="5">
        <v>7</v>
      </c>
      <c r="F229" s="28" t="s">
        <v>366</v>
      </c>
    </row>
    <row r="230" spans="1:6">
      <c r="A230" s="5">
        <v>157</v>
      </c>
      <c r="B230" s="12">
        <v>45315</v>
      </c>
      <c r="C230" s="5">
        <v>688897</v>
      </c>
      <c r="D230" s="5" t="s">
        <v>87</v>
      </c>
      <c r="E230" s="5">
        <v>27</v>
      </c>
      <c r="F230" s="28" t="s">
        <v>367</v>
      </c>
    </row>
    <row r="231" spans="1:6">
      <c r="A231" s="5">
        <v>151</v>
      </c>
      <c r="B231" s="12">
        <v>45317</v>
      </c>
      <c r="C231" s="5">
        <v>443480</v>
      </c>
      <c r="D231" s="5" t="s">
        <v>79</v>
      </c>
      <c r="E231" s="5">
        <v>32</v>
      </c>
      <c r="F231" s="28" t="s">
        <v>368</v>
      </c>
    </row>
    <row r="232" spans="1:6">
      <c r="A232" s="5">
        <v>163</v>
      </c>
      <c r="B232" s="12">
        <v>45357</v>
      </c>
      <c r="C232" s="5">
        <v>443480</v>
      </c>
      <c r="D232" s="5" t="s">
        <v>93</v>
      </c>
      <c r="E232" s="5">
        <v>47</v>
      </c>
      <c r="F232" s="28" t="s">
        <v>369</v>
      </c>
    </row>
    <row r="233" spans="1:6">
      <c r="A233" s="5">
        <v>108</v>
      </c>
      <c r="B233" s="12">
        <v>45365</v>
      </c>
      <c r="C233" s="5">
        <v>466126</v>
      </c>
      <c r="D233" s="5" t="s">
        <v>89</v>
      </c>
      <c r="E233" s="5">
        <v>6</v>
      </c>
      <c r="F233" s="28" t="s">
        <v>370</v>
      </c>
    </row>
    <row r="234" spans="1:6">
      <c r="A234" s="5">
        <v>151</v>
      </c>
      <c r="B234" s="12">
        <v>45357</v>
      </c>
      <c r="C234" s="5">
        <v>443480</v>
      </c>
      <c r="D234" s="5" t="s">
        <v>91</v>
      </c>
      <c r="E234" s="5">
        <v>24</v>
      </c>
      <c r="F234" s="28" t="s">
        <v>371</v>
      </c>
    </row>
    <row r="235" spans="1:6">
      <c r="A235" s="5">
        <v>153</v>
      </c>
      <c r="B235" s="12">
        <v>45323</v>
      </c>
      <c r="C235" s="5">
        <v>688897</v>
      </c>
      <c r="D235" s="5" t="s">
        <v>95</v>
      </c>
      <c r="E235" s="5">
        <v>46</v>
      </c>
      <c r="F235" s="28" t="s">
        <v>372</v>
      </c>
    </row>
    <row r="236" spans="1:6">
      <c r="A236" s="5">
        <v>195</v>
      </c>
      <c r="B236" s="12">
        <v>45378</v>
      </c>
      <c r="C236" s="5">
        <v>466126</v>
      </c>
      <c r="D236" s="5" t="s">
        <v>91</v>
      </c>
      <c r="E236" s="5">
        <v>26</v>
      </c>
      <c r="F236" s="28" t="s">
        <v>373</v>
      </c>
    </row>
    <row r="237" spans="1:6">
      <c r="A237" s="5">
        <v>153</v>
      </c>
      <c r="B237" s="12">
        <v>45350</v>
      </c>
      <c r="C237" s="5">
        <v>688897</v>
      </c>
      <c r="D237" s="5" t="s">
        <v>84</v>
      </c>
      <c r="E237" s="5">
        <v>8</v>
      </c>
      <c r="F237" s="28" t="s">
        <v>374</v>
      </c>
    </row>
    <row r="238" spans="1:6">
      <c r="A238" s="5">
        <v>195</v>
      </c>
      <c r="B238" s="12">
        <v>45352</v>
      </c>
      <c r="C238" s="5">
        <v>466126</v>
      </c>
      <c r="D238" s="5" t="s">
        <v>100</v>
      </c>
      <c r="E238" s="5">
        <v>49</v>
      </c>
      <c r="F238" s="28" t="s">
        <v>375</v>
      </c>
    </row>
    <row r="239" spans="1:6">
      <c r="A239" s="5">
        <v>153</v>
      </c>
      <c r="B239" s="12">
        <v>45296</v>
      </c>
      <c r="C239" s="5">
        <v>688897</v>
      </c>
      <c r="D239" s="5" t="s">
        <v>107</v>
      </c>
      <c r="E239" s="5">
        <v>14</v>
      </c>
      <c r="F239" s="28" t="s">
        <v>376</v>
      </c>
    </row>
    <row r="240" spans="1:6">
      <c r="A240" s="5">
        <v>157</v>
      </c>
      <c r="B240" s="12">
        <v>45349</v>
      </c>
      <c r="C240" s="5">
        <v>688897</v>
      </c>
      <c r="D240" s="5" t="s">
        <v>79</v>
      </c>
      <c r="E240" s="5">
        <v>42</v>
      </c>
      <c r="F240" s="28" t="s">
        <v>377</v>
      </c>
    </row>
    <row r="241" spans="1:6">
      <c r="A241" s="5">
        <v>163</v>
      </c>
      <c r="B241" s="12">
        <v>45367</v>
      </c>
      <c r="C241" s="5">
        <v>443480</v>
      </c>
      <c r="D241" s="5" t="s">
        <v>98</v>
      </c>
      <c r="E241" s="5">
        <v>44</v>
      </c>
      <c r="F241" s="28" t="s">
        <v>378</v>
      </c>
    </row>
    <row r="242" spans="1:6">
      <c r="A242" s="5">
        <v>153</v>
      </c>
      <c r="B242" s="12">
        <v>45341</v>
      </c>
      <c r="C242" s="5">
        <v>688897</v>
      </c>
      <c r="D242" s="5" t="s">
        <v>93</v>
      </c>
      <c r="E242" s="5">
        <v>50</v>
      </c>
      <c r="F242" s="28" t="s">
        <v>379</v>
      </c>
    </row>
    <row r="243" spans="1:6">
      <c r="A243" s="5">
        <v>186</v>
      </c>
      <c r="B243" s="12">
        <v>45350</v>
      </c>
      <c r="C243" s="5">
        <v>243994</v>
      </c>
      <c r="D243" s="5" t="s">
        <v>95</v>
      </c>
      <c r="E243" s="5">
        <v>40</v>
      </c>
      <c r="F243" s="28" t="s">
        <v>380</v>
      </c>
    </row>
    <row r="244" spans="1:6">
      <c r="A244" s="5">
        <v>108</v>
      </c>
      <c r="B244" s="12">
        <v>45318</v>
      </c>
      <c r="C244" s="5">
        <v>466126</v>
      </c>
      <c r="D244" s="5" t="s">
        <v>98</v>
      </c>
      <c r="E244" s="5">
        <v>43</v>
      </c>
      <c r="F244" s="28" t="s">
        <v>381</v>
      </c>
    </row>
    <row r="245" spans="1:6">
      <c r="A245" s="5">
        <v>151</v>
      </c>
      <c r="B245" s="12">
        <v>45361</v>
      </c>
      <c r="C245" s="5">
        <v>443480</v>
      </c>
      <c r="D245" s="5" t="s">
        <v>100</v>
      </c>
      <c r="E245" s="5">
        <v>12</v>
      </c>
      <c r="F245" s="28" t="s">
        <v>382</v>
      </c>
    </row>
    <row r="246" spans="1:6">
      <c r="A246" s="5">
        <v>163</v>
      </c>
      <c r="B246" s="12">
        <v>45303</v>
      </c>
      <c r="C246" s="5">
        <v>443480</v>
      </c>
      <c r="D246" s="5" t="s">
        <v>95</v>
      </c>
      <c r="E246" s="5">
        <v>39</v>
      </c>
      <c r="F246" s="28" t="s">
        <v>383</v>
      </c>
    </row>
    <row r="247" spans="1:6">
      <c r="A247" s="5">
        <v>151</v>
      </c>
      <c r="B247" s="12">
        <v>45306</v>
      </c>
      <c r="C247" s="5">
        <v>443480</v>
      </c>
      <c r="D247" s="5" t="s">
        <v>100</v>
      </c>
      <c r="E247" s="5">
        <v>24</v>
      </c>
      <c r="F247" s="28" t="s">
        <v>384</v>
      </c>
    </row>
    <row r="248" spans="1:6">
      <c r="A248" s="5">
        <v>127</v>
      </c>
      <c r="B248" s="12">
        <v>45346</v>
      </c>
      <c r="C248" s="5">
        <v>171444</v>
      </c>
      <c r="D248" s="5" t="s">
        <v>95</v>
      </c>
      <c r="E248" s="5">
        <v>14</v>
      </c>
      <c r="F248" s="28" t="s">
        <v>385</v>
      </c>
    </row>
    <row r="249" spans="1:6">
      <c r="A249" s="5">
        <v>163</v>
      </c>
      <c r="B249" s="12">
        <v>45351</v>
      </c>
      <c r="C249" s="5">
        <v>443480</v>
      </c>
      <c r="D249" s="5" t="s">
        <v>95</v>
      </c>
      <c r="E249" s="5">
        <v>9</v>
      </c>
      <c r="F249" s="28" t="s">
        <v>386</v>
      </c>
    </row>
    <row r="250" spans="1:6">
      <c r="A250" s="5">
        <v>157</v>
      </c>
      <c r="B250" s="12">
        <v>45328</v>
      </c>
      <c r="C250" s="5">
        <v>688897</v>
      </c>
      <c r="D250" s="5" t="s">
        <v>87</v>
      </c>
      <c r="E250" s="5">
        <v>13</v>
      </c>
      <c r="F250" s="28" t="s">
        <v>387</v>
      </c>
    </row>
    <row r="251" spans="1:6">
      <c r="A251" s="5">
        <v>151</v>
      </c>
      <c r="B251" s="12">
        <v>45322</v>
      </c>
      <c r="C251" s="5">
        <v>443480</v>
      </c>
      <c r="D251" s="5" t="s">
        <v>103</v>
      </c>
      <c r="E251" s="5">
        <v>8</v>
      </c>
      <c r="F251" s="28" t="s">
        <v>388</v>
      </c>
    </row>
    <row r="252" spans="1:6">
      <c r="A252" s="5">
        <v>108</v>
      </c>
      <c r="B252" s="12">
        <v>45293</v>
      </c>
      <c r="C252" s="5">
        <v>466126</v>
      </c>
      <c r="D252" s="5" t="s">
        <v>84</v>
      </c>
      <c r="E252" s="5">
        <v>16</v>
      </c>
      <c r="F252" s="28" t="s">
        <v>389</v>
      </c>
    </row>
    <row r="253" spans="1:6">
      <c r="A253" s="5">
        <v>163</v>
      </c>
      <c r="B253" s="12">
        <v>45346</v>
      </c>
      <c r="C253" s="5">
        <v>443480</v>
      </c>
      <c r="D253" s="5" t="s">
        <v>89</v>
      </c>
      <c r="E253" s="5">
        <v>2</v>
      </c>
      <c r="F253" s="28" t="s">
        <v>390</v>
      </c>
    </row>
    <row r="254" spans="1:6">
      <c r="A254" s="5">
        <v>151</v>
      </c>
      <c r="B254" s="12">
        <v>45336</v>
      </c>
      <c r="C254" s="5">
        <v>443480</v>
      </c>
      <c r="D254" s="5" t="s">
        <v>100</v>
      </c>
      <c r="E254" s="5">
        <v>8</v>
      </c>
      <c r="F254" s="28" t="s">
        <v>391</v>
      </c>
    </row>
    <row r="255" spans="1:6">
      <c r="A255" s="5">
        <v>151</v>
      </c>
      <c r="B255" s="12">
        <v>45321</v>
      </c>
      <c r="C255" s="5">
        <v>443480</v>
      </c>
      <c r="D255" s="5" t="s">
        <v>103</v>
      </c>
      <c r="E255" s="5">
        <v>39</v>
      </c>
      <c r="F255" s="28" t="s">
        <v>392</v>
      </c>
    </row>
    <row r="256" spans="1:6">
      <c r="A256" s="5">
        <v>153</v>
      </c>
      <c r="B256" s="12">
        <v>45379</v>
      </c>
      <c r="C256" s="5">
        <v>688897</v>
      </c>
      <c r="D256" s="5" t="s">
        <v>95</v>
      </c>
      <c r="E256" s="5">
        <v>47</v>
      </c>
      <c r="F256" s="28" t="s">
        <v>393</v>
      </c>
    </row>
    <row r="257" spans="1:6">
      <c r="A257" s="5">
        <v>127</v>
      </c>
      <c r="B257" s="12">
        <v>45379</v>
      </c>
      <c r="C257" s="5">
        <v>171444</v>
      </c>
      <c r="D257" s="5" t="s">
        <v>98</v>
      </c>
      <c r="E257" s="5">
        <v>26</v>
      </c>
      <c r="F257" s="28" t="s">
        <v>394</v>
      </c>
    </row>
    <row r="258" spans="1:6">
      <c r="A258" s="5">
        <v>186</v>
      </c>
      <c r="B258" s="12">
        <v>45363</v>
      </c>
      <c r="C258" s="5">
        <v>243994</v>
      </c>
      <c r="D258" s="5" t="s">
        <v>89</v>
      </c>
      <c r="E258" s="5">
        <v>29</v>
      </c>
      <c r="F258" s="28" t="s">
        <v>395</v>
      </c>
    </row>
    <row r="259" spans="1:6">
      <c r="A259" s="5">
        <v>157</v>
      </c>
      <c r="B259" s="12">
        <v>45359</v>
      </c>
      <c r="C259" s="5">
        <v>688897</v>
      </c>
      <c r="D259" s="5" t="s">
        <v>76</v>
      </c>
      <c r="E259" s="5">
        <v>25</v>
      </c>
      <c r="F259" s="28" t="s">
        <v>396</v>
      </c>
    </row>
    <row r="260" spans="1:6">
      <c r="A260" s="5">
        <v>152</v>
      </c>
      <c r="B260" s="12">
        <v>45360</v>
      </c>
      <c r="C260" s="5">
        <v>171444</v>
      </c>
      <c r="D260" s="5" t="s">
        <v>76</v>
      </c>
      <c r="E260" s="5">
        <v>3</v>
      </c>
      <c r="F260" s="28" t="s">
        <v>397</v>
      </c>
    </row>
    <row r="261" spans="1:6">
      <c r="A261" s="5">
        <v>179</v>
      </c>
      <c r="B261" s="12">
        <v>45350</v>
      </c>
      <c r="C261" s="5">
        <v>243994</v>
      </c>
      <c r="D261" s="5" t="s">
        <v>105</v>
      </c>
      <c r="E261" s="5">
        <v>11</v>
      </c>
      <c r="F261" s="28" t="s">
        <v>398</v>
      </c>
    </row>
    <row r="262" spans="1:6">
      <c r="A262" s="5">
        <v>186</v>
      </c>
      <c r="B262" s="12">
        <v>45292</v>
      </c>
      <c r="C262" s="5">
        <v>243994</v>
      </c>
      <c r="D262" s="5" t="s">
        <v>95</v>
      </c>
      <c r="E262" s="5">
        <v>29</v>
      </c>
      <c r="F262" s="28" t="s">
        <v>399</v>
      </c>
    </row>
    <row r="263" spans="1:6">
      <c r="A263" s="5">
        <v>186</v>
      </c>
      <c r="B263" s="12">
        <v>45300</v>
      </c>
      <c r="C263" s="5">
        <v>243994</v>
      </c>
      <c r="D263" s="5" t="s">
        <v>107</v>
      </c>
      <c r="E263" s="5">
        <v>33</v>
      </c>
      <c r="F263" s="28" t="s">
        <v>400</v>
      </c>
    </row>
    <row r="264" spans="1:6">
      <c r="A264" s="5">
        <v>157</v>
      </c>
      <c r="B264" s="12">
        <v>45357</v>
      </c>
      <c r="C264" s="5">
        <v>688897</v>
      </c>
      <c r="D264" s="5" t="s">
        <v>91</v>
      </c>
      <c r="E264" s="5">
        <v>50</v>
      </c>
      <c r="F264" s="28" t="s">
        <v>401</v>
      </c>
    </row>
    <row r="265" spans="1:6">
      <c r="A265" s="5">
        <v>152</v>
      </c>
      <c r="B265" s="12">
        <v>45363</v>
      </c>
      <c r="C265" s="5">
        <v>171444</v>
      </c>
      <c r="D265" s="5" t="s">
        <v>100</v>
      </c>
      <c r="E265" s="5">
        <v>48</v>
      </c>
      <c r="F265" s="28" t="s">
        <v>402</v>
      </c>
    </row>
    <row r="266" spans="1:6">
      <c r="A266" s="5">
        <v>179</v>
      </c>
      <c r="B266" s="12">
        <v>45308</v>
      </c>
      <c r="C266" s="5">
        <v>243994</v>
      </c>
      <c r="D266" s="5" t="s">
        <v>76</v>
      </c>
      <c r="E266" s="5">
        <v>5</v>
      </c>
      <c r="F266" s="28" t="s">
        <v>403</v>
      </c>
    </row>
    <row r="267" spans="1:6">
      <c r="A267" s="5">
        <v>151</v>
      </c>
      <c r="B267" s="12">
        <v>45341</v>
      </c>
      <c r="C267" s="5">
        <v>443480</v>
      </c>
      <c r="D267" s="5" t="s">
        <v>91</v>
      </c>
      <c r="E267" s="5">
        <v>39</v>
      </c>
      <c r="F267" s="28" t="s">
        <v>404</v>
      </c>
    </row>
    <row r="268" spans="1:6">
      <c r="A268" s="5">
        <v>127</v>
      </c>
      <c r="B268" s="12">
        <v>45311</v>
      </c>
      <c r="C268" s="5">
        <v>171444</v>
      </c>
      <c r="D268" s="5" t="s">
        <v>107</v>
      </c>
      <c r="E268" s="5">
        <v>41</v>
      </c>
      <c r="F268" s="28" t="s">
        <v>405</v>
      </c>
    </row>
    <row r="269" spans="1:6">
      <c r="A269" s="5">
        <v>127</v>
      </c>
      <c r="B269" s="12">
        <v>45309</v>
      </c>
      <c r="C269" s="5">
        <v>171444</v>
      </c>
      <c r="D269" s="5" t="s">
        <v>84</v>
      </c>
      <c r="E269" s="5">
        <v>39</v>
      </c>
      <c r="F269" s="28" t="s">
        <v>406</v>
      </c>
    </row>
    <row r="270" spans="1:6">
      <c r="A270" s="5">
        <v>157</v>
      </c>
      <c r="B270" s="12">
        <v>45342</v>
      </c>
      <c r="C270" s="5">
        <v>688897</v>
      </c>
      <c r="D270" s="5" t="s">
        <v>103</v>
      </c>
      <c r="E270" s="5">
        <v>5</v>
      </c>
      <c r="F270" s="28" t="s">
        <v>407</v>
      </c>
    </row>
    <row r="271" spans="1:6">
      <c r="A271" s="5">
        <v>179</v>
      </c>
      <c r="B271" s="12">
        <v>45329</v>
      </c>
      <c r="C271" s="5">
        <v>243994</v>
      </c>
      <c r="D271" s="5" t="s">
        <v>100</v>
      </c>
      <c r="E271" s="5">
        <v>40</v>
      </c>
      <c r="F271" s="28" t="s">
        <v>408</v>
      </c>
    </row>
    <row r="272" spans="1:6">
      <c r="A272" s="5">
        <v>151</v>
      </c>
      <c r="B272" s="12">
        <v>45338</v>
      </c>
      <c r="C272" s="5">
        <v>443480</v>
      </c>
      <c r="D272" s="5" t="s">
        <v>87</v>
      </c>
      <c r="E272" s="5">
        <v>12</v>
      </c>
      <c r="F272" s="28" t="s">
        <v>409</v>
      </c>
    </row>
    <row r="273" spans="1:6">
      <c r="A273" s="5">
        <v>108</v>
      </c>
      <c r="B273" s="12">
        <v>45353</v>
      </c>
      <c r="C273" s="5">
        <v>466126</v>
      </c>
      <c r="D273" s="5" t="s">
        <v>95</v>
      </c>
      <c r="E273" s="5">
        <v>10</v>
      </c>
      <c r="F273" s="28" t="s">
        <v>410</v>
      </c>
    </row>
    <row r="274" spans="1:6">
      <c r="A274" s="5">
        <v>108</v>
      </c>
      <c r="B274" s="12">
        <v>45295</v>
      </c>
      <c r="C274" s="5">
        <v>466126</v>
      </c>
      <c r="D274" s="5" t="s">
        <v>98</v>
      </c>
      <c r="E274" s="5">
        <v>39</v>
      </c>
      <c r="F274" s="28" t="s">
        <v>411</v>
      </c>
    </row>
    <row r="275" spans="1:6">
      <c r="A275" s="5">
        <v>163</v>
      </c>
      <c r="B275" s="12">
        <v>45344</v>
      </c>
      <c r="C275" s="5">
        <v>443480</v>
      </c>
      <c r="D275" s="5" t="s">
        <v>107</v>
      </c>
      <c r="E275" s="5">
        <v>14</v>
      </c>
      <c r="F275" s="28" t="s">
        <v>412</v>
      </c>
    </row>
    <row r="276" spans="1:6">
      <c r="A276" s="5">
        <v>127</v>
      </c>
      <c r="B276" s="12">
        <v>45330</v>
      </c>
      <c r="C276" s="5">
        <v>171444</v>
      </c>
      <c r="D276" s="5" t="s">
        <v>89</v>
      </c>
      <c r="E276" s="5">
        <v>42</v>
      </c>
      <c r="F276" s="28" t="s">
        <v>413</v>
      </c>
    </row>
    <row r="277" spans="1:6">
      <c r="A277" s="5">
        <v>195</v>
      </c>
      <c r="B277" s="12">
        <v>45331</v>
      </c>
      <c r="C277" s="5">
        <v>466126</v>
      </c>
      <c r="D277" s="5" t="s">
        <v>105</v>
      </c>
      <c r="E277" s="5">
        <v>9</v>
      </c>
      <c r="F277" s="28" t="s">
        <v>414</v>
      </c>
    </row>
    <row r="278" spans="1:6">
      <c r="A278" s="5">
        <v>108</v>
      </c>
      <c r="B278" s="12">
        <v>45339</v>
      </c>
      <c r="C278" s="5">
        <v>466126</v>
      </c>
      <c r="D278" s="5" t="s">
        <v>107</v>
      </c>
      <c r="E278" s="5">
        <v>3</v>
      </c>
      <c r="F278" s="28" t="s">
        <v>415</v>
      </c>
    </row>
    <row r="279" spans="1:6">
      <c r="A279" s="5">
        <v>127</v>
      </c>
      <c r="B279" s="12">
        <v>45316</v>
      </c>
      <c r="C279" s="5">
        <v>171444</v>
      </c>
      <c r="D279" s="5" t="s">
        <v>98</v>
      </c>
      <c r="E279" s="5">
        <v>48</v>
      </c>
      <c r="F279" s="28" t="s">
        <v>416</v>
      </c>
    </row>
    <row r="280" spans="1:6">
      <c r="A280" s="5">
        <v>186</v>
      </c>
      <c r="B280" s="12">
        <v>45356</v>
      </c>
      <c r="C280" s="5">
        <v>243994</v>
      </c>
      <c r="D280" s="5" t="s">
        <v>107</v>
      </c>
      <c r="E280" s="5">
        <v>46</v>
      </c>
      <c r="F280" s="28" t="s">
        <v>417</v>
      </c>
    </row>
    <row r="281" spans="1:6">
      <c r="A281" s="5">
        <v>163</v>
      </c>
      <c r="B281" s="12">
        <v>45297</v>
      </c>
      <c r="C281" s="5">
        <v>443480</v>
      </c>
      <c r="D281" s="5" t="s">
        <v>98</v>
      </c>
      <c r="E281" s="5">
        <v>34</v>
      </c>
      <c r="F281" s="28" t="s">
        <v>418</v>
      </c>
    </row>
    <row r="282" spans="1:6">
      <c r="A282" s="5">
        <v>186</v>
      </c>
      <c r="B282" s="12">
        <v>45338</v>
      </c>
      <c r="C282" s="5">
        <v>243994</v>
      </c>
      <c r="D282" s="5" t="s">
        <v>95</v>
      </c>
      <c r="E282" s="5">
        <v>33</v>
      </c>
      <c r="F282" s="28" t="s">
        <v>419</v>
      </c>
    </row>
    <row r="283" spans="1:6">
      <c r="A283" s="5">
        <v>195</v>
      </c>
      <c r="B283" s="12">
        <v>45361</v>
      </c>
      <c r="C283" s="5">
        <v>466126</v>
      </c>
      <c r="D283" s="5" t="s">
        <v>87</v>
      </c>
      <c r="E283" s="5">
        <v>12</v>
      </c>
      <c r="F283" s="28" t="s">
        <v>420</v>
      </c>
    </row>
    <row r="284" spans="1:6">
      <c r="A284" s="5">
        <v>179</v>
      </c>
      <c r="B284" s="12">
        <v>45308</v>
      </c>
      <c r="C284" s="5">
        <v>243994</v>
      </c>
      <c r="D284" s="5" t="s">
        <v>79</v>
      </c>
      <c r="E284" s="5">
        <v>6</v>
      </c>
      <c r="F284" s="28" t="s">
        <v>421</v>
      </c>
    </row>
    <row r="285" spans="1:6">
      <c r="A285" s="5">
        <v>163</v>
      </c>
      <c r="B285" s="12">
        <v>45334</v>
      </c>
      <c r="C285" s="5">
        <v>443480</v>
      </c>
      <c r="D285" s="5" t="s">
        <v>107</v>
      </c>
      <c r="E285" s="5">
        <v>40</v>
      </c>
      <c r="F285" s="28" t="s">
        <v>422</v>
      </c>
    </row>
    <row r="286" spans="1:6">
      <c r="A286" s="5">
        <v>163</v>
      </c>
      <c r="B286" s="12">
        <v>45319</v>
      </c>
      <c r="C286" s="5">
        <v>443480</v>
      </c>
      <c r="D286" s="5" t="s">
        <v>84</v>
      </c>
      <c r="E286" s="5">
        <v>5</v>
      </c>
      <c r="F286" s="28" t="s">
        <v>423</v>
      </c>
    </row>
    <row r="287" spans="1:6">
      <c r="A287" s="5">
        <v>179</v>
      </c>
      <c r="B287" s="12">
        <v>45359</v>
      </c>
      <c r="C287" s="5">
        <v>243994</v>
      </c>
      <c r="D287" s="5" t="s">
        <v>100</v>
      </c>
      <c r="E287" s="5">
        <v>13</v>
      </c>
      <c r="F287" s="28" t="s">
        <v>424</v>
      </c>
    </row>
    <row r="288" spans="1:6">
      <c r="A288" s="5">
        <v>186</v>
      </c>
      <c r="B288" s="12">
        <v>45303</v>
      </c>
      <c r="C288" s="5">
        <v>171444</v>
      </c>
      <c r="D288" s="5" t="s">
        <v>89</v>
      </c>
      <c r="E288" s="5">
        <v>42</v>
      </c>
      <c r="F288" s="28" t="s">
        <v>425</v>
      </c>
    </row>
    <row r="289" spans="1:6">
      <c r="A289" s="5">
        <v>152</v>
      </c>
      <c r="B289" s="12">
        <v>45373</v>
      </c>
      <c r="C289" s="5">
        <v>171444</v>
      </c>
      <c r="D289" s="5" t="s">
        <v>100</v>
      </c>
      <c r="E289" s="5">
        <v>45</v>
      </c>
      <c r="F289" s="28" t="s">
        <v>426</v>
      </c>
    </row>
    <row r="290" spans="1:6">
      <c r="A290" s="5">
        <v>153</v>
      </c>
      <c r="B290" s="12">
        <v>45352</v>
      </c>
      <c r="C290" s="5">
        <v>688897</v>
      </c>
      <c r="D290" s="5" t="s">
        <v>95</v>
      </c>
      <c r="E290" s="5">
        <v>48</v>
      </c>
      <c r="F290" s="28" t="s">
        <v>427</v>
      </c>
    </row>
    <row r="291" spans="1:6">
      <c r="A291" s="5">
        <v>195</v>
      </c>
      <c r="B291" s="12">
        <v>45295</v>
      </c>
      <c r="C291" s="5">
        <v>466126</v>
      </c>
      <c r="D291" s="5" t="s">
        <v>79</v>
      </c>
      <c r="E291" s="5">
        <v>12</v>
      </c>
      <c r="F291" s="28" t="s">
        <v>428</v>
      </c>
    </row>
    <row r="292" spans="1:6">
      <c r="A292" s="5">
        <v>195</v>
      </c>
      <c r="B292" s="12">
        <v>45317</v>
      </c>
      <c r="C292" s="5">
        <v>466126</v>
      </c>
      <c r="D292" s="5" t="s">
        <v>76</v>
      </c>
      <c r="E292" s="5">
        <v>48</v>
      </c>
      <c r="F292" s="28" t="s">
        <v>429</v>
      </c>
    </row>
    <row r="293" spans="1:6">
      <c r="A293" s="5">
        <v>163</v>
      </c>
      <c r="B293" s="12">
        <v>45345</v>
      </c>
      <c r="C293" s="5">
        <v>443480</v>
      </c>
      <c r="D293" s="5" t="s">
        <v>89</v>
      </c>
      <c r="E293" s="5">
        <v>39</v>
      </c>
      <c r="F293" s="28" t="s">
        <v>430</v>
      </c>
    </row>
    <row r="294" spans="1:6">
      <c r="A294" s="5">
        <v>186</v>
      </c>
      <c r="B294" s="12">
        <v>45336</v>
      </c>
      <c r="C294" s="5">
        <v>243994</v>
      </c>
      <c r="D294" s="5" t="s">
        <v>95</v>
      </c>
      <c r="E294" s="5">
        <v>49</v>
      </c>
      <c r="F294" s="28" t="s">
        <v>431</v>
      </c>
    </row>
    <row r="295" spans="1:6">
      <c r="A295" s="5">
        <v>108</v>
      </c>
      <c r="B295" s="12">
        <v>45339</v>
      </c>
      <c r="C295" s="5">
        <v>466126</v>
      </c>
      <c r="D295" s="5" t="s">
        <v>89</v>
      </c>
      <c r="E295" s="5">
        <v>29</v>
      </c>
      <c r="F295" s="28" t="s">
        <v>432</v>
      </c>
    </row>
    <row r="296" spans="1:6">
      <c r="A296" s="5">
        <v>127</v>
      </c>
      <c r="B296" s="12">
        <v>45331</v>
      </c>
      <c r="C296" s="5">
        <v>171444</v>
      </c>
      <c r="D296" s="5" t="s">
        <v>98</v>
      </c>
      <c r="E296" s="5">
        <v>50</v>
      </c>
      <c r="F296" s="28" t="s">
        <v>433</v>
      </c>
    </row>
    <row r="297" spans="1:6">
      <c r="A297" s="5">
        <v>151</v>
      </c>
      <c r="B297" s="12">
        <v>45355</v>
      </c>
      <c r="C297" s="5">
        <v>443480</v>
      </c>
      <c r="D297" s="5" t="s">
        <v>76</v>
      </c>
      <c r="E297" s="5">
        <v>43</v>
      </c>
      <c r="F297" s="28" t="s">
        <v>434</v>
      </c>
    </row>
    <row r="298" spans="1:6">
      <c r="E298" s="3">
        <f>SUBTOTAL(9,E2:E297)</f>
        <v>7762</v>
      </c>
      <c r="F298" s="26"/>
    </row>
    <row r="299" spans="1:6">
      <c r="F299" s="26"/>
    </row>
    <row r="300" spans="1:6">
      <c r="F300" s="26"/>
    </row>
    <row r="301" spans="1:6">
      <c r="F301" s="26"/>
    </row>
    <row r="302" spans="1:6">
      <c r="F302" s="26"/>
    </row>
    <row r="303" spans="1:6">
      <c r="F303" s="26"/>
    </row>
    <row r="304" spans="1:6">
      <c r="F304" s="26"/>
    </row>
    <row r="305" spans="6:6">
      <c r="F305" s="26"/>
    </row>
    <row r="306" spans="6:6">
      <c r="F306" s="26"/>
    </row>
    <row r="307" spans="6:6">
      <c r="F307" s="26"/>
    </row>
    <row r="308" spans="6:6">
      <c r="F308" s="26"/>
    </row>
    <row r="309" spans="6:6">
      <c r="F309" s="26"/>
    </row>
    <row r="310" spans="6:6">
      <c r="F310" s="26"/>
    </row>
    <row r="311" spans="6:6">
      <c r="F311" s="26"/>
    </row>
    <row r="312" spans="6:6">
      <c r="F312" s="26"/>
    </row>
    <row r="313" spans="6:6">
      <c r="F313" s="26"/>
    </row>
    <row r="314" spans="6:6">
      <c r="F314" s="26"/>
    </row>
    <row r="315" spans="6:6">
      <c r="F315" s="26"/>
    </row>
    <row r="316" spans="6:6">
      <c r="F316" s="26"/>
    </row>
    <row r="317" spans="6:6">
      <c r="F317" s="26"/>
    </row>
    <row r="318" spans="6:6">
      <c r="F318" s="26"/>
    </row>
    <row r="319" spans="6:6">
      <c r="F319" s="26"/>
    </row>
    <row r="320" spans="6:6">
      <c r="F320" s="26"/>
    </row>
    <row r="321" spans="6:6">
      <c r="F321" s="26"/>
    </row>
    <row r="322" spans="6:6">
      <c r="F322" s="26"/>
    </row>
    <row r="323" spans="6:6">
      <c r="F323" s="26"/>
    </row>
    <row r="324" spans="6:6">
      <c r="F324" s="26"/>
    </row>
    <row r="325" spans="6:6">
      <c r="F325" s="26"/>
    </row>
    <row r="326" spans="6:6">
      <c r="F326" s="26"/>
    </row>
    <row r="327" spans="6:6">
      <c r="F327" s="26"/>
    </row>
    <row r="328" spans="6:6">
      <c r="F328" s="26"/>
    </row>
    <row r="329" spans="6:6">
      <c r="F329" s="26"/>
    </row>
    <row r="330" spans="6:6">
      <c r="F330" s="26"/>
    </row>
    <row r="331" spans="6:6">
      <c r="F331" s="26"/>
    </row>
    <row r="332" spans="6:6">
      <c r="F332" s="26"/>
    </row>
    <row r="333" spans="6:6">
      <c r="F333" s="26"/>
    </row>
    <row r="334" spans="6:6">
      <c r="F334" s="26"/>
    </row>
    <row r="335" spans="6:6">
      <c r="F335" s="26"/>
    </row>
    <row r="336" spans="6:6">
      <c r="F336" s="26"/>
    </row>
    <row r="337" spans="6:6">
      <c r="F337" s="26"/>
    </row>
    <row r="338" spans="6:6">
      <c r="F338" s="26"/>
    </row>
    <row r="339" spans="6:6">
      <c r="F339" s="26"/>
    </row>
    <row r="340" spans="6:6">
      <c r="F340" s="26"/>
    </row>
    <row r="341" spans="6:6">
      <c r="F341" s="26"/>
    </row>
    <row r="342" spans="6:6">
      <c r="F342" s="26"/>
    </row>
    <row r="343" spans="6:6">
      <c r="F343" s="26"/>
    </row>
    <row r="344" spans="6:6">
      <c r="F344" s="26"/>
    </row>
    <row r="345" spans="6:6">
      <c r="F345" s="26"/>
    </row>
    <row r="346" spans="6:6">
      <c r="F346" s="26"/>
    </row>
    <row r="347" spans="6:6">
      <c r="F347" s="26"/>
    </row>
    <row r="348" spans="6:6">
      <c r="F348" s="26"/>
    </row>
    <row r="349" spans="6:6">
      <c r="F349" s="26"/>
    </row>
    <row r="350" spans="6:6">
      <c r="F350" s="26"/>
    </row>
    <row r="351" spans="6:6">
      <c r="F351" s="26"/>
    </row>
    <row r="352" spans="6:6">
      <c r="F352" s="26"/>
    </row>
    <row r="353" spans="6:6">
      <c r="F353" s="26"/>
    </row>
    <row r="354" spans="6:6">
      <c r="F354" s="26"/>
    </row>
    <row r="355" spans="6:6">
      <c r="F355" s="26"/>
    </row>
    <row r="356" spans="6:6">
      <c r="F356" s="26"/>
    </row>
    <row r="357" spans="6:6">
      <c r="F357" s="26"/>
    </row>
    <row r="358" spans="6:6">
      <c r="F358" s="26"/>
    </row>
    <row r="359" spans="6:6">
      <c r="F359" s="26"/>
    </row>
    <row r="360" spans="6:6">
      <c r="F360" s="26"/>
    </row>
    <row r="361" spans="6:6">
      <c r="F361" s="26"/>
    </row>
    <row r="362" spans="6:6">
      <c r="F362" s="26"/>
    </row>
    <row r="363" spans="6:6">
      <c r="F363" s="26"/>
    </row>
    <row r="364" spans="6:6">
      <c r="F364" s="26"/>
    </row>
    <row r="365" spans="6:6">
      <c r="F365" s="26"/>
    </row>
    <row r="366" spans="6:6">
      <c r="F366" s="26"/>
    </row>
    <row r="367" spans="6:6">
      <c r="F367" s="26"/>
    </row>
    <row r="368" spans="6:6">
      <c r="F368" s="26"/>
    </row>
    <row r="369" spans="6:6">
      <c r="F369" s="26"/>
    </row>
    <row r="370" spans="6:6">
      <c r="F370" s="26"/>
    </row>
    <row r="371" spans="6:6">
      <c r="F371" s="26"/>
    </row>
    <row r="372" spans="6:6">
      <c r="F372" s="26"/>
    </row>
    <row r="373" spans="6:6">
      <c r="F373" s="26"/>
    </row>
    <row r="374" spans="6:6">
      <c r="F374" s="26"/>
    </row>
    <row r="375" spans="6:6">
      <c r="F375" s="26"/>
    </row>
    <row r="376" spans="6:6">
      <c r="F376" s="26"/>
    </row>
    <row r="377" spans="6:6">
      <c r="F377" s="26"/>
    </row>
    <row r="378" spans="6:6">
      <c r="F378" s="26"/>
    </row>
    <row r="379" spans="6:6">
      <c r="F379" s="26"/>
    </row>
    <row r="380" spans="6:6">
      <c r="F380" s="26"/>
    </row>
    <row r="381" spans="6:6">
      <c r="F381" s="26"/>
    </row>
    <row r="382" spans="6:6">
      <c r="F382" s="26"/>
    </row>
  </sheetData>
  <autoFilter ref="A1:F1" xr:uid="{909D8577-EA63-482A-A2C7-E407101BE567}"/>
  <sortState xmlns:xlrd2="http://schemas.microsoft.com/office/spreadsheetml/2017/richdata2" ref="A2:E297">
    <sortCondition ref="E2:E297"/>
  </sortState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46350-8806-4DD0-84F4-BA503EE0905C}">
  <sheetPr>
    <tabColor rgb="FFFFFF00"/>
  </sheetPr>
  <dimension ref="A1:L382"/>
  <sheetViews>
    <sheetView topLeftCell="B274" zoomScaleNormal="100" workbookViewId="0">
      <selection activeCell="I302" sqref="I302"/>
    </sheetView>
  </sheetViews>
  <sheetFormatPr defaultRowHeight="14.4"/>
  <cols>
    <col min="1" max="1" width="9.109375" style="3" bestFit="1" customWidth="1"/>
    <col min="2" max="2" width="15.6640625" style="13" customWidth="1"/>
    <col min="3" max="3" width="13.44140625" style="3" bestFit="1" customWidth="1"/>
    <col min="4" max="4" width="19.109375" style="3" customWidth="1"/>
    <col min="5" max="5" width="20.6640625" style="3" bestFit="1" customWidth="1"/>
    <col min="6" max="6" width="10.5546875" bestFit="1" customWidth="1"/>
    <col min="7" max="7" width="22.6640625" customWidth="1"/>
    <col min="8" max="8" width="17.109375" customWidth="1"/>
    <col min="9" max="9" width="20.44140625" customWidth="1"/>
    <col min="10" max="10" width="18.6640625" customWidth="1"/>
    <col min="11" max="11" width="21.21875" customWidth="1"/>
    <col min="12" max="12" width="21.109375" customWidth="1"/>
    <col min="13" max="13" width="21.33203125" customWidth="1"/>
  </cols>
  <sheetData>
    <row r="1" spans="1:12">
      <c r="A1" s="15" t="s">
        <v>133</v>
      </c>
      <c r="B1" s="14" t="s">
        <v>134</v>
      </c>
      <c r="C1" s="16" t="s">
        <v>135</v>
      </c>
      <c r="D1" s="17" t="s">
        <v>136</v>
      </c>
      <c r="E1" s="17" t="s">
        <v>137</v>
      </c>
      <c r="F1" s="27" t="s">
        <v>138</v>
      </c>
      <c r="G1" t="s">
        <v>71</v>
      </c>
      <c r="H1" t="s">
        <v>72</v>
      </c>
      <c r="I1" t="s">
        <v>457</v>
      </c>
      <c r="J1" t="s">
        <v>451</v>
      </c>
      <c r="K1" t="s">
        <v>110</v>
      </c>
      <c r="L1" t="s">
        <v>458</v>
      </c>
    </row>
    <row r="2" spans="1:12">
      <c r="A2" s="5">
        <v>195</v>
      </c>
      <c r="B2" s="12">
        <v>45307</v>
      </c>
      <c r="C2" s="5">
        <v>466126</v>
      </c>
      <c r="D2" s="5" t="s">
        <v>87</v>
      </c>
      <c r="E2" s="5">
        <v>29</v>
      </c>
      <c r="F2" s="28" t="s">
        <v>139</v>
      </c>
      <c r="G2" t="str">
        <f>VLOOKUP(D2,Proizvodi!$A$1:$F$15,2,FALSE)</f>
        <v>Nameštaj za dnevnu sobu</v>
      </c>
      <c r="H2" t="str">
        <f>VLOOKUP(D2,Proizvodi!$A$1:$F$15,3,FALSE)</f>
        <v>Ormarić za TV</v>
      </c>
      <c r="I2" t="s">
        <v>452</v>
      </c>
      <c r="J2" t="str">
        <f>VLOOKUP(A2,Klijenti!$A$1:$F$11,2,FALSE)</f>
        <v>Moderni Dom</v>
      </c>
      <c r="K2" t="str">
        <f>VLOOKUP(A2,Klijenti!$A$1:$F$11,3,FALSE)</f>
        <v>Srbija</v>
      </c>
      <c r="L2">
        <f>SUM(Prodaja!E2:E297)</f>
        <v>7762</v>
      </c>
    </row>
    <row r="3" spans="1:12">
      <c r="A3" s="5">
        <v>153</v>
      </c>
      <c r="B3" s="12">
        <v>45308</v>
      </c>
      <c r="C3" s="5">
        <v>443480</v>
      </c>
      <c r="D3" s="5" t="s">
        <v>95</v>
      </c>
      <c r="E3" s="5">
        <v>7</v>
      </c>
      <c r="F3" s="28" t="s">
        <v>140</v>
      </c>
      <c r="G3" t="str">
        <f>VLOOKUP(D3,Proizvodi!$A$1:$F$15,2,FALSE)</f>
        <v>Nameštaj za radnu sobu</v>
      </c>
      <c r="H3" t="str">
        <f>VLOOKUP(D3,Proizvodi!$A$1:$F$15,3,FALSE)</f>
        <v>Radni sto</v>
      </c>
      <c r="I3" t="s">
        <v>453</v>
      </c>
      <c r="J3" t="str">
        <f>VLOOKUP(A3,Klijenti!$A$1:$F$11,2,FALSE)</f>
        <v>Udobni Kutak</v>
      </c>
      <c r="K3" t="str">
        <f>VLOOKUP(A3,Klijenti!$A$1:$F$11,3,FALSE)</f>
        <v>Južni region</v>
      </c>
    </row>
    <row r="4" spans="1:12">
      <c r="A4" s="5">
        <v>153</v>
      </c>
      <c r="B4" s="12">
        <v>45361</v>
      </c>
      <c r="C4" s="5">
        <v>688897</v>
      </c>
      <c r="D4" s="5" t="s">
        <v>93</v>
      </c>
      <c r="E4" s="5">
        <v>12</v>
      </c>
      <c r="F4" s="28" t="s">
        <v>141</v>
      </c>
      <c r="G4" t="str">
        <f>VLOOKUP(D4,Proizvodi!$A$1:$F$15,2,FALSE)</f>
        <v>Nameštaj za dnevnu sobu</v>
      </c>
      <c r="H4" t="str">
        <f>VLOOKUP(D4,Proizvodi!$A$1:$F$15,3,FALSE)</f>
        <v>Rasklopiva fotelja</v>
      </c>
      <c r="I4" t="s">
        <v>454</v>
      </c>
      <c r="J4" t="str">
        <f>VLOOKUP(A4,Klijenti!$A$1:$F$11,2,FALSE)</f>
        <v>Udobni Kutak</v>
      </c>
      <c r="K4" t="str">
        <f>VLOOKUP(A4,Klijenti!$A$1:$F$11,3,FALSE)</f>
        <v>Južni region</v>
      </c>
    </row>
    <row r="5" spans="1:12">
      <c r="A5" s="5">
        <v>153</v>
      </c>
      <c r="B5" s="12">
        <v>45363</v>
      </c>
      <c r="C5" s="5">
        <v>688897</v>
      </c>
      <c r="D5" s="5" t="s">
        <v>89</v>
      </c>
      <c r="E5" s="5">
        <v>34</v>
      </c>
      <c r="F5" s="28" t="s">
        <v>142</v>
      </c>
      <c r="G5" t="str">
        <f>VLOOKUP(D5,Proizvodi!$A$1:$F$15,2,FALSE)</f>
        <v>Nameštaj za dnevnu sobu</v>
      </c>
      <c r="H5" t="str">
        <f>VLOOKUP(D5,Proizvodi!$A$1:$F$15,3,FALSE)</f>
        <v>Ogledalo za zid</v>
      </c>
      <c r="I5" t="s">
        <v>454</v>
      </c>
      <c r="J5" t="str">
        <f>VLOOKUP(A5,Klijenti!$A$1:$F$11,2,FALSE)</f>
        <v>Udobni Kutak</v>
      </c>
      <c r="K5" t="str">
        <f>VLOOKUP(A5,Klijenti!$A$1:$F$11,3,FALSE)</f>
        <v>Južni region</v>
      </c>
    </row>
    <row r="6" spans="1:12">
      <c r="A6" s="5">
        <v>108</v>
      </c>
      <c r="B6" s="12">
        <v>45321</v>
      </c>
      <c r="C6" s="5">
        <v>466126</v>
      </c>
      <c r="D6" s="5" t="s">
        <v>107</v>
      </c>
      <c r="E6" s="5">
        <v>34</v>
      </c>
      <c r="F6" s="28" t="s">
        <v>143</v>
      </c>
      <c r="G6" t="str">
        <f>VLOOKUP(D6,Proizvodi!$A$1:$F$15,2,FALSE)</f>
        <v>Kuhinja</v>
      </c>
      <c r="H6" t="str">
        <f>VLOOKUP(D6,Proizvodi!$A$1:$F$15,3,FALSE)</f>
        <v>Viseća polica</v>
      </c>
      <c r="I6" t="s">
        <v>452</v>
      </c>
      <c r="J6" t="str">
        <f>VLOOKUP(A6,Klijenti!$A$1:$F$11,2,FALSE)</f>
        <v>Dom &amp; Dekor</v>
      </c>
      <c r="K6" t="str">
        <f>VLOOKUP(A6,Klijenti!$A$1:$F$11,3,FALSE)</f>
        <v>Beogradski region</v>
      </c>
    </row>
    <row r="7" spans="1:12">
      <c r="A7" s="5">
        <v>151</v>
      </c>
      <c r="B7" s="12">
        <v>45336</v>
      </c>
      <c r="C7" s="5">
        <v>443480</v>
      </c>
      <c r="D7" s="5" t="s">
        <v>87</v>
      </c>
      <c r="E7" s="5">
        <v>41</v>
      </c>
      <c r="F7" s="28" t="s">
        <v>144</v>
      </c>
      <c r="G7" t="str">
        <f>VLOOKUP(D7,Proizvodi!$A$1:$F$15,2,FALSE)</f>
        <v>Nameštaj za dnevnu sobu</v>
      </c>
      <c r="H7" t="str">
        <f>VLOOKUP(D7,Proizvodi!$A$1:$F$15,3,FALSE)</f>
        <v>Ormarić za TV</v>
      </c>
      <c r="I7" t="s">
        <v>453</v>
      </c>
      <c r="J7" t="str">
        <f>VLOOKUP(A7,Klijenti!$A$1:$F$11,2,FALSE)</f>
        <v>Estetski Kutak</v>
      </c>
      <c r="K7" t="str">
        <f>VLOOKUP(A7,Klijenti!$A$1:$F$11,3,FALSE)</f>
        <v>Srbija</v>
      </c>
    </row>
    <row r="8" spans="1:12">
      <c r="A8" s="5">
        <v>186</v>
      </c>
      <c r="B8" s="12">
        <v>45328</v>
      </c>
      <c r="C8" s="5">
        <v>243994</v>
      </c>
      <c r="D8" s="5" t="s">
        <v>89</v>
      </c>
      <c r="E8" s="5">
        <v>26</v>
      </c>
      <c r="F8" s="28" t="s">
        <v>145</v>
      </c>
      <c r="G8" t="str">
        <f>VLOOKUP(D8,Proizvodi!$A$1:$F$15,2,FALSE)</f>
        <v>Nameštaj za dnevnu sobu</v>
      </c>
      <c r="H8" t="str">
        <f>VLOOKUP(D8,Proizvodi!$A$1:$F$15,3,FALSE)</f>
        <v>Ogledalo za zid</v>
      </c>
      <c r="I8" t="s">
        <v>455</v>
      </c>
      <c r="J8" t="str">
        <f>VLOOKUP(A8,Klijenti!$A$1:$F$11,2,FALSE)</f>
        <v>Kuća- Uređenje i Dizajn</v>
      </c>
      <c r="K8" t="str">
        <f>VLOOKUP(A8,Klijenti!$A$1:$F$11,3,FALSE)</f>
        <v>Beogradski region</v>
      </c>
    </row>
    <row r="9" spans="1:12">
      <c r="A9" s="5">
        <v>179</v>
      </c>
      <c r="B9" s="12">
        <v>45315</v>
      </c>
      <c r="C9" s="5">
        <v>243994</v>
      </c>
      <c r="D9" s="5" t="s">
        <v>91</v>
      </c>
      <c r="E9" s="5">
        <v>12</v>
      </c>
      <c r="F9" s="28" t="s">
        <v>146</v>
      </c>
      <c r="G9" t="str">
        <f>VLOOKUP(D9,Proizvodi!$A$1:$F$15,2,FALSE)</f>
        <v>Nameštaj za dnevnu sobu</v>
      </c>
      <c r="H9" t="str">
        <f>VLOOKUP(D9,Proizvodi!$A$1:$F$15,3,FALSE)</f>
        <v>Polica za knjige</v>
      </c>
      <c r="I9" t="s">
        <v>455</v>
      </c>
      <c r="J9" t="str">
        <f>VLOOKUP(A9,Klijenti!$A$1:$F$11,2,FALSE)</f>
        <v>Elegantni Enterijeri</v>
      </c>
      <c r="K9" t="str">
        <f>VLOOKUP(A9,Klijenti!$A$1:$F$11,3,FALSE)</f>
        <v>Južni i Šumadijski region</v>
      </c>
    </row>
    <row r="10" spans="1:12">
      <c r="A10" s="5">
        <v>151</v>
      </c>
      <c r="B10" s="12">
        <v>45328</v>
      </c>
      <c r="C10" s="5">
        <v>443480</v>
      </c>
      <c r="D10" s="5" t="s">
        <v>76</v>
      </c>
      <c r="E10" s="5">
        <v>49</v>
      </c>
      <c r="F10" s="28" t="s">
        <v>147</v>
      </c>
      <c r="G10" t="str">
        <f>VLOOKUP(D10,Proizvodi!$A$1:$F$15,2,FALSE)</f>
        <v>Nameštaj za dnevnu sobu</v>
      </c>
      <c r="H10" t="str">
        <f>VLOOKUP(D10,Proizvodi!$A$1:$F$15,3,FALSE)</f>
        <v>Komoda</v>
      </c>
      <c r="I10" t="s">
        <v>453</v>
      </c>
      <c r="J10" t="str">
        <f>VLOOKUP(A10,Klijenti!$A$1:$F$11,2,FALSE)</f>
        <v>Estetski Kutak</v>
      </c>
      <c r="K10" t="str">
        <f>VLOOKUP(A10,Klijenti!$A$1:$F$11,3,FALSE)</f>
        <v>Srbija</v>
      </c>
    </row>
    <row r="11" spans="1:12">
      <c r="A11" s="5">
        <v>151</v>
      </c>
      <c r="B11" s="12">
        <v>45310</v>
      </c>
      <c r="C11" s="5">
        <v>443480</v>
      </c>
      <c r="D11" s="5" t="s">
        <v>103</v>
      </c>
      <c r="E11" s="5">
        <v>41</v>
      </c>
      <c r="F11" s="28" t="s">
        <v>148</v>
      </c>
      <c r="G11" t="str">
        <f>VLOOKUP(D11,Proizvodi!$A$1:$F$15,2,FALSE)</f>
        <v>Nameštaj za dnevnu sobu</v>
      </c>
      <c r="H11" t="str">
        <f>VLOOKUP(D11,Proizvodi!$A$1:$F$15,3,FALSE)</f>
        <v>Tabure</v>
      </c>
      <c r="I11" t="s">
        <v>453</v>
      </c>
      <c r="J11" t="str">
        <f>VLOOKUP(A11,Klijenti!$A$1:$F$11,2,FALSE)</f>
        <v>Estetski Kutak</v>
      </c>
      <c r="K11" t="str">
        <f>VLOOKUP(A11,Klijenti!$A$1:$F$11,3,FALSE)</f>
        <v>Srbija</v>
      </c>
    </row>
    <row r="12" spans="1:12">
      <c r="A12" s="5">
        <v>163</v>
      </c>
      <c r="B12" s="12">
        <v>45347</v>
      </c>
      <c r="C12" s="5">
        <v>443480</v>
      </c>
      <c r="D12" s="5" t="s">
        <v>82</v>
      </c>
      <c r="E12" s="5">
        <v>36</v>
      </c>
      <c r="F12" s="28" t="s">
        <v>149</v>
      </c>
      <c r="G12" t="str">
        <f>VLOOKUP(D12,Proizvodi!$A$1:$F$15,2,FALSE)</f>
        <v>Nameštaj za dnevnu sobu</v>
      </c>
      <c r="H12" t="str">
        <f>VLOOKUP(D12,Proizvodi!$A$1:$F$15,3,FALSE)</f>
        <v>Klub sto</v>
      </c>
      <c r="I12" t="s">
        <v>453</v>
      </c>
      <c r="J12" t="str">
        <f>VLOOKUP(A12,Klijenti!$A$1:$F$11,2,FALSE)</f>
        <v>Sofistikacija Doma</v>
      </c>
      <c r="K12" t="str">
        <f>VLOOKUP(A12,Klijenti!$A$1:$F$11,3,FALSE)</f>
        <v>Šumadija</v>
      </c>
    </row>
    <row r="13" spans="1:12">
      <c r="A13" s="5">
        <v>153</v>
      </c>
      <c r="B13" s="12">
        <v>45353</v>
      </c>
      <c r="C13" s="5">
        <v>688897</v>
      </c>
      <c r="D13" s="5" t="s">
        <v>84</v>
      </c>
      <c r="E13" s="5">
        <v>5</v>
      </c>
      <c r="F13" s="28" t="s">
        <v>150</v>
      </c>
      <c r="G13" t="str">
        <f>VLOOKUP(D13,Proizvodi!$A$1:$F$15,2,FALSE)</f>
        <v>Nameštaj za spavaću sobu</v>
      </c>
      <c r="H13" t="str">
        <f>VLOOKUP(D13,Proizvodi!$A$1:$F$15,3,FALSE)</f>
        <v>Noćni ormarić</v>
      </c>
      <c r="I13" t="s">
        <v>454</v>
      </c>
      <c r="J13" t="str">
        <f>VLOOKUP(A13,Klijenti!$A$1:$F$11,2,FALSE)</f>
        <v>Udobni Kutak</v>
      </c>
      <c r="K13" t="str">
        <f>VLOOKUP(A13,Klijenti!$A$1:$F$11,3,FALSE)</f>
        <v>Južni region</v>
      </c>
    </row>
    <row r="14" spans="1:12">
      <c r="A14" s="5">
        <v>151</v>
      </c>
      <c r="B14" s="12">
        <v>45301</v>
      </c>
      <c r="C14" s="5">
        <v>243994</v>
      </c>
      <c r="D14" s="5" t="s">
        <v>91</v>
      </c>
      <c r="E14" s="5">
        <v>33</v>
      </c>
      <c r="F14" s="28" t="s">
        <v>151</v>
      </c>
      <c r="G14" t="str">
        <f>VLOOKUP(D14,Proizvodi!$A$1:$F$15,2,FALSE)</f>
        <v>Nameštaj za dnevnu sobu</v>
      </c>
      <c r="H14" t="str">
        <f>VLOOKUP(D14,Proizvodi!$A$1:$F$15,3,FALSE)</f>
        <v>Polica za knjige</v>
      </c>
      <c r="I14" t="s">
        <v>455</v>
      </c>
      <c r="J14" t="str">
        <f>VLOOKUP(A14,Klijenti!$A$1:$F$11,2,FALSE)</f>
        <v>Estetski Kutak</v>
      </c>
      <c r="K14" t="str">
        <f>VLOOKUP(A14,Klijenti!$A$1:$F$11,3,FALSE)</f>
        <v>Srbija</v>
      </c>
    </row>
    <row r="15" spans="1:12">
      <c r="A15" s="5">
        <v>152</v>
      </c>
      <c r="B15" s="12">
        <v>45330</v>
      </c>
      <c r="C15" s="5">
        <v>171444</v>
      </c>
      <c r="D15" s="5" t="s">
        <v>87</v>
      </c>
      <c r="E15" s="5">
        <v>46</v>
      </c>
      <c r="F15" s="28" t="s">
        <v>152</v>
      </c>
      <c r="G15" t="str">
        <f>VLOOKUP(D15,Proizvodi!$A$1:$F$15,2,FALSE)</f>
        <v>Nameštaj za dnevnu sobu</v>
      </c>
      <c r="H15" t="str">
        <f>VLOOKUP(D15,Proizvodi!$A$1:$F$15,3,FALSE)</f>
        <v>Ormarić za TV</v>
      </c>
      <c r="I15" t="s">
        <v>456</v>
      </c>
      <c r="J15" t="str">
        <f>VLOOKUP(A15,Klijenti!$A$1:$F$11,2,FALSE)</f>
        <v>Prostor za Uživanje</v>
      </c>
      <c r="K15" t="str">
        <f>VLOOKUP(A15,Klijenti!$A$1:$F$11,3,FALSE)</f>
        <v>Srbija</v>
      </c>
    </row>
    <row r="16" spans="1:12">
      <c r="A16" s="5">
        <v>108</v>
      </c>
      <c r="B16" s="12">
        <v>45373</v>
      </c>
      <c r="C16" s="5">
        <v>466126</v>
      </c>
      <c r="D16" s="5" t="s">
        <v>93</v>
      </c>
      <c r="E16" s="5">
        <v>2</v>
      </c>
      <c r="F16" s="28" t="s">
        <v>153</v>
      </c>
      <c r="G16" t="str">
        <f>VLOOKUP(D16,Proizvodi!$A$1:$F$15,2,FALSE)</f>
        <v>Nameštaj za dnevnu sobu</v>
      </c>
      <c r="H16" t="str">
        <f>VLOOKUP(D16,Proizvodi!$A$1:$F$15,3,FALSE)</f>
        <v>Rasklopiva fotelja</v>
      </c>
      <c r="I16" t="s">
        <v>452</v>
      </c>
      <c r="J16" t="str">
        <f>VLOOKUP(A16,Klijenti!$A$1:$F$11,2,FALSE)</f>
        <v>Dom &amp; Dekor</v>
      </c>
      <c r="K16" t="str">
        <f>VLOOKUP(A16,Klijenti!$A$1:$F$11,3,FALSE)</f>
        <v>Beogradski region</v>
      </c>
    </row>
    <row r="17" spans="1:11">
      <c r="A17" s="5">
        <v>108</v>
      </c>
      <c r="B17" s="12">
        <v>45373</v>
      </c>
      <c r="C17" s="5">
        <v>466126</v>
      </c>
      <c r="D17" s="5" t="s">
        <v>93</v>
      </c>
      <c r="E17" s="5">
        <v>31</v>
      </c>
      <c r="F17" s="28" t="s">
        <v>154</v>
      </c>
      <c r="G17" t="str">
        <f>VLOOKUP(D17,Proizvodi!$A$1:$F$15,2,FALSE)</f>
        <v>Nameštaj za dnevnu sobu</v>
      </c>
      <c r="H17" t="str">
        <f>VLOOKUP(D17,Proizvodi!$A$1:$F$15,3,FALSE)</f>
        <v>Rasklopiva fotelja</v>
      </c>
      <c r="I17" t="s">
        <v>452</v>
      </c>
      <c r="J17" t="str">
        <f>VLOOKUP(A17,Klijenti!$A$1:$F$11,2,FALSE)</f>
        <v>Dom &amp; Dekor</v>
      </c>
      <c r="K17" t="str">
        <f>VLOOKUP(A17,Klijenti!$A$1:$F$11,3,FALSE)</f>
        <v>Beogradski region</v>
      </c>
    </row>
    <row r="18" spans="1:11">
      <c r="A18" s="5">
        <v>127</v>
      </c>
      <c r="B18" s="12">
        <v>45363</v>
      </c>
      <c r="C18" s="5">
        <v>171444</v>
      </c>
      <c r="D18" s="5" t="s">
        <v>82</v>
      </c>
      <c r="E18" s="5">
        <v>21</v>
      </c>
      <c r="F18" s="28" t="s">
        <v>155</v>
      </c>
      <c r="G18" t="str">
        <f>VLOOKUP(D18,Proizvodi!$A$1:$F$15,2,FALSE)</f>
        <v>Nameštaj za dnevnu sobu</v>
      </c>
      <c r="H18" t="str">
        <f>VLOOKUP(D18,Proizvodi!$A$1:$F$15,3,FALSE)</f>
        <v>Klub sto</v>
      </c>
      <c r="I18" t="s">
        <v>456</v>
      </c>
      <c r="J18" t="str">
        <f>VLOOKUP(A18,Klijenti!$A$1:$F$11,2,FALSE)</f>
        <v>Luksuzni Dizajn</v>
      </c>
      <c r="K18" t="str">
        <f>VLOOKUP(A18,Klijenti!$A$1:$F$11,3,FALSE)</f>
        <v>Vojvodina</v>
      </c>
    </row>
    <row r="19" spans="1:11">
      <c r="A19" s="5">
        <v>179</v>
      </c>
      <c r="B19" s="12">
        <v>45379</v>
      </c>
      <c r="C19" s="5">
        <v>243994</v>
      </c>
      <c r="D19" s="5" t="s">
        <v>103</v>
      </c>
      <c r="E19" s="5">
        <v>23</v>
      </c>
      <c r="F19" s="28" t="s">
        <v>156</v>
      </c>
      <c r="G19" t="str">
        <f>VLOOKUP(D19,Proizvodi!$A$1:$F$15,2,FALSE)</f>
        <v>Nameštaj za dnevnu sobu</v>
      </c>
      <c r="H19" t="str">
        <f>VLOOKUP(D19,Proizvodi!$A$1:$F$15,3,FALSE)</f>
        <v>Tabure</v>
      </c>
      <c r="I19" t="s">
        <v>455</v>
      </c>
      <c r="J19" t="str">
        <f>VLOOKUP(A19,Klijenti!$A$1:$F$11,2,FALSE)</f>
        <v>Elegantni Enterijeri</v>
      </c>
      <c r="K19" t="str">
        <f>VLOOKUP(A19,Klijenti!$A$1:$F$11,3,FALSE)</f>
        <v>Južni i Šumadijski region</v>
      </c>
    </row>
    <row r="20" spans="1:11">
      <c r="A20" s="5">
        <v>157</v>
      </c>
      <c r="B20" s="12">
        <v>45349</v>
      </c>
      <c r="C20" s="5">
        <v>688897</v>
      </c>
      <c r="D20" s="5" t="s">
        <v>91</v>
      </c>
      <c r="E20" s="5">
        <v>19</v>
      </c>
      <c r="F20" s="28" t="s">
        <v>157</v>
      </c>
      <c r="G20" t="str">
        <f>VLOOKUP(D20,Proizvodi!$A$1:$F$15,2,FALSE)</f>
        <v>Nameštaj za dnevnu sobu</v>
      </c>
      <c r="H20" t="str">
        <f>VLOOKUP(D20,Proizvodi!$A$1:$F$15,3,FALSE)</f>
        <v>Polica za knjige</v>
      </c>
      <c r="I20" t="s">
        <v>454</v>
      </c>
      <c r="J20" t="str">
        <f>VLOOKUP(A20,Klijenti!$A$1:$F$11,2,FALSE)</f>
        <v>Stilski Stan</v>
      </c>
      <c r="K20" t="str">
        <f>VLOOKUP(A20,Klijenti!$A$1:$F$11,3,FALSE)</f>
        <v>Vojvodina i Beograd</v>
      </c>
    </row>
    <row r="21" spans="1:11">
      <c r="A21" s="5">
        <v>163</v>
      </c>
      <c r="B21" s="12">
        <v>45329</v>
      </c>
      <c r="C21" s="5">
        <v>443480</v>
      </c>
      <c r="D21" s="5" t="s">
        <v>93</v>
      </c>
      <c r="E21" s="5">
        <v>49</v>
      </c>
      <c r="F21" s="28" t="s">
        <v>158</v>
      </c>
      <c r="G21" t="str">
        <f>VLOOKUP(D21,Proizvodi!$A$1:$F$15,2,FALSE)</f>
        <v>Nameštaj za dnevnu sobu</v>
      </c>
      <c r="H21" t="str">
        <f>VLOOKUP(D21,Proizvodi!$A$1:$F$15,3,FALSE)</f>
        <v>Rasklopiva fotelja</v>
      </c>
      <c r="I21" t="s">
        <v>453</v>
      </c>
      <c r="J21" t="str">
        <f>VLOOKUP(A21,Klijenti!$A$1:$F$11,2,FALSE)</f>
        <v>Sofistikacija Doma</v>
      </c>
      <c r="K21" t="str">
        <f>VLOOKUP(A21,Klijenti!$A$1:$F$11,3,FALSE)</f>
        <v>Šumadija</v>
      </c>
    </row>
    <row r="22" spans="1:11">
      <c r="A22" s="5">
        <v>186</v>
      </c>
      <c r="B22" s="12">
        <v>45310</v>
      </c>
      <c r="C22" s="5">
        <v>243994</v>
      </c>
      <c r="D22" s="5" t="s">
        <v>89</v>
      </c>
      <c r="E22" s="5">
        <v>31</v>
      </c>
      <c r="F22" s="28" t="s">
        <v>159</v>
      </c>
      <c r="G22" t="str">
        <f>VLOOKUP(D22,Proizvodi!$A$1:$F$15,2,FALSE)</f>
        <v>Nameštaj za dnevnu sobu</v>
      </c>
      <c r="H22" t="str">
        <f>VLOOKUP(D22,Proizvodi!$A$1:$F$15,3,FALSE)</f>
        <v>Ogledalo za zid</v>
      </c>
      <c r="I22" t="s">
        <v>455</v>
      </c>
      <c r="J22" t="str">
        <f>VLOOKUP(A22,Klijenti!$A$1:$F$11,2,FALSE)</f>
        <v>Kuća- Uređenje i Dizajn</v>
      </c>
      <c r="K22" t="str">
        <f>VLOOKUP(A22,Klijenti!$A$1:$F$11,3,FALSE)</f>
        <v>Beogradski region</v>
      </c>
    </row>
    <row r="23" spans="1:11">
      <c r="A23" s="5">
        <v>186</v>
      </c>
      <c r="B23" s="12">
        <v>45375</v>
      </c>
      <c r="C23" s="5">
        <v>243994</v>
      </c>
      <c r="D23" s="5" t="s">
        <v>93</v>
      </c>
      <c r="E23" s="5">
        <v>28</v>
      </c>
      <c r="F23" s="28" t="s">
        <v>160</v>
      </c>
      <c r="G23" t="str">
        <f>VLOOKUP(D23,Proizvodi!$A$1:$F$15,2,FALSE)</f>
        <v>Nameštaj za dnevnu sobu</v>
      </c>
      <c r="H23" t="str">
        <f>VLOOKUP(D23,Proizvodi!$A$1:$F$15,3,FALSE)</f>
        <v>Rasklopiva fotelja</v>
      </c>
      <c r="I23" t="s">
        <v>455</v>
      </c>
      <c r="J23" t="str">
        <f>VLOOKUP(A23,Klijenti!$A$1:$F$11,2,FALSE)</f>
        <v>Kuća- Uređenje i Dizajn</v>
      </c>
      <c r="K23" t="str">
        <f>VLOOKUP(A23,Klijenti!$A$1:$F$11,3,FALSE)</f>
        <v>Beogradski region</v>
      </c>
    </row>
    <row r="24" spans="1:11">
      <c r="A24" s="5">
        <v>151</v>
      </c>
      <c r="B24" s="12">
        <v>45328</v>
      </c>
      <c r="C24" s="5">
        <v>243994</v>
      </c>
      <c r="D24" s="5" t="s">
        <v>100</v>
      </c>
      <c r="E24" s="5">
        <v>43</v>
      </c>
      <c r="F24" s="28" t="s">
        <v>161</v>
      </c>
      <c r="G24" t="str">
        <f>VLOOKUP(D24,Proizvodi!$A$1:$F$15,2,FALSE)</f>
        <v>Trpezarija</v>
      </c>
      <c r="H24" t="str">
        <f>VLOOKUP(D24,Proizvodi!$A$1:$F$15,3,FALSE)</f>
        <v>Stolica za ručavanje</v>
      </c>
      <c r="I24" t="s">
        <v>455</v>
      </c>
      <c r="J24" t="str">
        <f>VLOOKUP(A24,Klijenti!$A$1:$F$11,2,FALSE)</f>
        <v>Estetski Kutak</v>
      </c>
      <c r="K24" t="str">
        <f>VLOOKUP(A24,Klijenti!$A$1:$F$11,3,FALSE)</f>
        <v>Srbija</v>
      </c>
    </row>
    <row r="25" spans="1:11">
      <c r="A25" s="5">
        <v>152</v>
      </c>
      <c r="B25" s="12">
        <v>45320</v>
      </c>
      <c r="C25" s="5">
        <v>171444</v>
      </c>
      <c r="D25" s="5" t="s">
        <v>100</v>
      </c>
      <c r="E25" s="5">
        <v>8</v>
      </c>
      <c r="F25" s="28" t="s">
        <v>162</v>
      </c>
      <c r="G25" t="str">
        <f>VLOOKUP(D25,Proizvodi!$A$1:$F$15,2,FALSE)</f>
        <v>Trpezarija</v>
      </c>
      <c r="H25" t="str">
        <f>VLOOKUP(D25,Proizvodi!$A$1:$F$15,3,FALSE)</f>
        <v>Stolica za ručavanje</v>
      </c>
      <c r="I25" t="s">
        <v>456</v>
      </c>
      <c r="J25" t="str">
        <f>VLOOKUP(A25,Klijenti!$A$1:$F$11,2,FALSE)</f>
        <v>Prostor za Uživanje</v>
      </c>
      <c r="K25" t="str">
        <f>VLOOKUP(A25,Klijenti!$A$1:$F$11,3,FALSE)</f>
        <v>Srbija</v>
      </c>
    </row>
    <row r="26" spans="1:11">
      <c r="A26" s="5">
        <v>163</v>
      </c>
      <c r="B26" s="12">
        <v>45310</v>
      </c>
      <c r="C26" s="5">
        <v>443480</v>
      </c>
      <c r="D26" s="5" t="s">
        <v>82</v>
      </c>
      <c r="E26" s="5">
        <v>47</v>
      </c>
      <c r="F26" s="28" t="s">
        <v>163</v>
      </c>
      <c r="G26" t="str">
        <f>VLOOKUP(D26,Proizvodi!$A$1:$F$15,2,FALSE)</f>
        <v>Nameštaj za dnevnu sobu</v>
      </c>
      <c r="H26" t="str">
        <f>VLOOKUP(D26,Proizvodi!$A$1:$F$15,3,FALSE)</f>
        <v>Klub sto</v>
      </c>
      <c r="I26" t="s">
        <v>453</v>
      </c>
      <c r="J26" t="str">
        <f>VLOOKUP(A26,Klijenti!$A$1:$F$11,2,FALSE)</f>
        <v>Sofistikacija Doma</v>
      </c>
      <c r="K26" t="str">
        <f>VLOOKUP(A26,Klijenti!$A$1:$F$11,3,FALSE)</f>
        <v>Šumadija</v>
      </c>
    </row>
    <row r="27" spans="1:11">
      <c r="A27" s="5">
        <v>179</v>
      </c>
      <c r="B27" s="12">
        <v>45370</v>
      </c>
      <c r="C27" s="5">
        <v>243994</v>
      </c>
      <c r="D27" s="5" t="s">
        <v>79</v>
      </c>
      <c r="E27" s="5">
        <v>50</v>
      </c>
      <c r="F27" s="28" t="s">
        <v>164</v>
      </c>
      <c r="G27" t="str">
        <f>VLOOKUP(D27,Proizvodi!$A$1:$F$15,2,FALSE)</f>
        <v>Kuhinja</v>
      </c>
      <c r="H27" t="str">
        <f>VLOOKUP(D27,Proizvodi!$A$1:$F$15,3,FALSE)</f>
        <v>Kuhinjsko ostrvo</v>
      </c>
      <c r="I27" t="s">
        <v>455</v>
      </c>
      <c r="J27" t="str">
        <f>VLOOKUP(A27,Klijenti!$A$1:$F$11,2,FALSE)</f>
        <v>Elegantni Enterijeri</v>
      </c>
      <c r="K27" t="str">
        <f>VLOOKUP(A27,Klijenti!$A$1:$F$11,3,FALSE)</f>
        <v>Južni i Šumadijski region</v>
      </c>
    </row>
    <row r="28" spans="1:11">
      <c r="A28" s="5">
        <v>179</v>
      </c>
      <c r="B28" s="12">
        <v>45303</v>
      </c>
      <c r="C28" s="5">
        <v>243994</v>
      </c>
      <c r="D28" s="5" t="s">
        <v>79</v>
      </c>
      <c r="E28" s="5">
        <v>26</v>
      </c>
      <c r="F28" s="28" t="s">
        <v>165</v>
      </c>
      <c r="G28" t="str">
        <f>VLOOKUP(D28,Proizvodi!$A$1:$F$15,2,FALSE)</f>
        <v>Kuhinja</v>
      </c>
      <c r="H28" t="str">
        <f>VLOOKUP(D28,Proizvodi!$A$1:$F$15,3,FALSE)</f>
        <v>Kuhinjsko ostrvo</v>
      </c>
      <c r="I28" t="s">
        <v>455</v>
      </c>
      <c r="J28" t="str">
        <f>VLOOKUP(A28,Klijenti!$A$1:$F$11,2,FALSE)</f>
        <v>Elegantni Enterijeri</v>
      </c>
      <c r="K28" t="str">
        <f>VLOOKUP(A28,Klijenti!$A$1:$F$11,3,FALSE)</f>
        <v>Južni i Šumadijski region</v>
      </c>
    </row>
    <row r="29" spans="1:11">
      <c r="A29" s="5">
        <v>195</v>
      </c>
      <c r="B29" s="12">
        <v>45314</v>
      </c>
      <c r="C29" s="5">
        <v>466126</v>
      </c>
      <c r="D29" s="5" t="s">
        <v>103</v>
      </c>
      <c r="E29" s="5">
        <v>33</v>
      </c>
      <c r="F29" s="28" t="s">
        <v>166</v>
      </c>
      <c r="G29" t="str">
        <f>VLOOKUP(D29,Proizvodi!$A$1:$F$15,2,FALSE)</f>
        <v>Nameštaj za dnevnu sobu</v>
      </c>
      <c r="H29" t="str">
        <f>VLOOKUP(D29,Proizvodi!$A$1:$F$15,3,FALSE)</f>
        <v>Tabure</v>
      </c>
      <c r="I29" t="s">
        <v>452</v>
      </c>
      <c r="J29" t="str">
        <f>VLOOKUP(A29,Klijenti!$A$1:$F$11,2,FALSE)</f>
        <v>Moderni Dom</v>
      </c>
      <c r="K29" t="str">
        <f>VLOOKUP(A29,Klijenti!$A$1:$F$11,3,FALSE)</f>
        <v>Srbija</v>
      </c>
    </row>
    <row r="30" spans="1:11">
      <c r="A30" s="5">
        <v>163</v>
      </c>
      <c r="B30" s="12">
        <v>45373</v>
      </c>
      <c r="C30" s="5">
        <v>443480</v>
      </c>
      <c r="D30" s="5" t="s">
        <v>84</v>
      </c>
      <c r="E30" s="5">
        <v>47</v>
      </c>
      <c r="F30" s="28" t="s">
        <v>167</v>
      </c>
      <c r="G30" t="str">
        <f>VLOOKUP(D30,Proizvodi!$A$1:$F$15,2,FALSE)</f>
        <v>Nameštaj za spavaću sobu</v>
      </c>
      <c r="H30" t="str">
        <f>VLOOKUP(D30,Proizvodi!$A$1:$F$15,3,FALSE)</f>
        <v>Noćni ormarić</v>
      </c>
      <c r="I30" t="s">
        <v>453</v>
      </c>
      <c r="J30" t="str">
        <f>VLOOKUP(A30,Klijenti!$A$1:$F$11,2,FALSE)</f>
        <v>Sofistikacija Doma</v>
      </c>
      <c r="K30" t="str">
        <f>VLOOKUP(A30,Klijenti!$A$1:$F$11,3,FALSE)</f>
        <v>Šumadija</v>
      </c>
    </row>
    <row r="31" spans="1:11">
      <c r="A31" s="5">
        <v>152</v>
      </c>
      <c r="B31" s="12">
        <v>45367</v>
      </c>
      <c r="C31" s="5">
        <v>171444</v>
      </c>
      <c r="D31" s="5" t="s">
        <v>103</v>
      </c>
      <c r="E31" s="5">
        <v>22</v>
      </c>
      <c r="F31" s="28" t="s">
        <v>168</v>
      </c>
      <c r="G31" t="str">
        <f>VLOOKUP(D31,Proizvodi!$A$1:$F$15,2,FALSE)</f>
        <v>Nameštaj za dnevnu sobu</v>
      </c>
      <c r="H31" t="str">
        <f>VLOOKUP(D31,Proizvodi!$A$1:$F$15,3,FALSE)</f>
        <v>Tabure</v>
      </c>
      <c r="I31" t="s">
        <v>456</v>
      </c>
      <c r="J31" t="str">
        <f>VLOOKUP(A31,Klijenti!$A$1:$F$11,2,FALSE)</f>
        <v>Prostor za Uživanje</v>
      </c>
      <c r="K31" t="str">
        <f>VLOOKUP(A31,Klijenti!$A$1:$F$11,3,FALSE)</f>
        <v>Srbija</v>
      </c>
    </row>
    <row r="32" spans="1:11">
      <c r="A32" s="5">
        <v>179</v>
      </c>
      <c r="B32" s="12">
        <v>45333</v>
      </c>
      <c r="C32" s="5">
        <v>243994</v>
      </c>
      <c r="D32" s="5" t="s">
        <v>103</v>
      </c>
      <c r="E32" s="5">
        <v>12</v>
      </c>
      <c r="F32" s="28" t="s">
        <v>169</v>
      </c>
      <c r="G32" t="str">
        <f>VLOOKUP(D32,Proizvodi!$A$1:$F$15,2,FALSE)</f>
        <v>Nameštaj za dnevnu sobu</v>
      </c>
      <c r="H32" t="str">
        <f>VLOOKUP(D32,Proizvodi!$A$1:$F$15,3,FALSE)</f>
        <v>Tabure</v>
      </c>
      <c r="I32" t="s">
        <v>455</v>
      </c>
      <c r="J32" t="str">
        <f>VLOOKUP(A32,Klijenti!$A$1:$F$11,2,FALSE)</f>
        <v>Elegantni Enterijeri</v>
      </c>
      <c r="K32" t="str">
        <f>VLOOKUP(A32,Klijenti!$A$1:$F$11,3,FALSE)</f>
        <v>Južni i Šumadijski region</v>
      </c>
    </row>
    <row r="33" spans="1:11">
      <c r="A33" s="5">
        <v>108</v>
      </c>
      <c r="B33" s="12">
        <v>45380</v>
      </c>
      <c r="C33" s="5">
        <v>466126</v>
      </c>
      <c r="D33" s="5" t="s">
        <v>89</v>
      </c>
      <c r="E33" s="5">
        <v>42</v>
      </c>
      <c r="F33" s="28" t="s">
        <v>170</v>
      </c>
      <c r="G33" t="str">
        <f>VLOOKUP(D33,Proizvodi!$A$1:$F$15,2,FALSE)</f>
        <v>Nameštaj za dnevnu sobu</v>
      </c>
      <c r="H33" t="str">
        <f>VLOOKUP(D33,Proizvodi!$A$1:$F$15,3,FALSE)</f>
        <v>Ogledalo za zid</v>
      </c>
      <c r="I33" t="s">
        <v>452</v>
      </c>
      <c r="J33" t="str">
        <f>VLOOKUP(A33,Klijenti!$A$1:$F$11,2,FALSE)</f>
        <v>Dom &amp; Dekor</v>
      </c>
      <c r="K33" t="str">
        <f>VLOOKUP(A33,Klijenti!$A$1:$F$11,3,FALSE)</f>
        <v>Beogradski region</v>
      </c>
    </row>
    <row r="34" spans="1:11">
      <c r="A34" s="5">
        <v>163</v>
      </c>
      <c r="B34" s="12">
        <v>45301</v>
      </c>
      <c r="C34" s="5">
        <v>443480</v>
      </c>
      <c r="D34" s="5" t="s">
        <v>93</v>
      </c>
      <c r="E34" s="5">
        <v>6</v>
      </c>
      <c r="F34" s="28" t="s">
        <v>171</v>
      </c>
      <c r="G34" t="str">
        <f>VLOOKUP(D34,Proizvodi!$A$1:$F$15,2,FALSE)</f>
        <v>Nameštaj za dnevnu sobu</v>
      </c>
      <c r="H34" t="str">
        <f>VLOOKUP(D34,Proizvodi!$A$1:$F$15,3,FALSE)</f>
        <v>Rasklopiva fotelja</v>
      </c>
      <c r="I34" t="s">
        <v>453</v>
      </c>
      <c r="J34" t="str">
        <f>VLOOKUP(A34,Klijenti!$A$1:$F$11,2,FALSE)</f>
        <v>Sofistikacija Doma</v>
      </c>
      <c r="K34" t="str">
        <f>VLOOKUP(A34,Klijenti!$A$1:$F$11,3,FALSE)</f>
        <v>Šumadija</v>
      </c>
    </row>
    <row r="35" spans="1:11">
      <c r="A35" s="5">
        <v>127</v>
      </c>
      <c r="B35" s="12">
        <v>45359</v>
      </c>
      <c r="C35" s="5">
        <v>171444</v>
      </c>
      <c r="D35" s="5" t="s">
        <v>84</v>
      </c>
      <c r="E35" s="5">
        <v>8</v>
      </c>
      <c r="F35" s="28" t="s">
        <v>172</v>
      </c>
      <c r="G35" t="str">
        <f>VLOOKUP(D35,Proizvodi!$A$1:$F$15,2,FALSE)</f>
        <v>Nameštaj za spavaću sobu</v>
      </c>
      <c r="H35" t="str">
        <f>VLOOKUP(D35,Proizvodi!$A$1:$F$15,3,FALSE)</f>
        <v>Noćni ormarić</v>
      </c>
      <c r="I35" t="s">
        <v>456</v>
      </c>
      <c r="J35" t="str">
        <f>VLOOKUP(A35,Klijenti!$A$1:$F$11,2,FALSE)</f>
        <v>Luksuzni Dizajn</v>
      </c>
      <c r="K35" t="str">
        <f>VLOOKUP(A35,Klijenti!$A$1:$F$11,3,FALSE)</f>
        <v>Vojvodina</v>
      </c>
    </row>
    <row r="36" spans="1:11">
      <c r="A36" s="5">
        <v>157</v>
      </c>
      <c r="B36" s="12">
        <v>45302</v>
      </c>
      <c r="C36" s="5">
        <v>688897</v>
      </c>
      <c r="D36" s="5" t="s">
        <v>100</v>
      </c>
      <c r="E36" s="5">
        <v>14</v>
      </c>
      <c r="F36" s="28" t="s">
        <v>173</v>
      </c>
      <c r="G36" t="str">
        <f>VLOOKUP(D36,Proizvodi!$A$1:$F$15,2,FALSE)</f>
        <v>Trpezarija</v>
      </c>
      <c r="H36" t="str">
        <f>VLOOKUP(D36,Proizvodi!$A$1:$F$15,3,FALSE)</f>
        <v>Stolica za ručavanje</v>
      </c>
      <c r="I36" t="s">
        <v>454</v>
      </c>
      <c r="J36" t="str">
        <f>VLOOKUP(A36,Klijenti!$A$1:$F$11,2,FALSE)</f>
        <v>Stilski Stan</v>
      </c>
      <c r="K36" t="str">
        <f>VLOOKUP(A36,Klijenti!$A$1:$F$11,3,FALSE)</f>
        <v>Vojvodina i Beograd</v>
      </c>
    </row>
    <row r="37" spans="1:11">
      <c r="A37" s="5">
        <v>157</v>
      </c>
      <c r="B37" s="12">
        <v>45319</v>
      </c>
      <c r="C37" s="5">
        <v>688897</v>
      </c>
      <c r="D37" s="5" t="s">
        <v>100</v>
      </c>
      <c r="E37" s="5">
        <v>3</v>
      </c>
      <c r="F37" s="28" t="s">
        <v>174</v>
      </c>
      <c r="G37" t="str">
        <f>VLOOKUP(D37,Proizvodi!$A$1:$F$15,2,FALSE)</f>
        <v>Trpezarija</v>
      </c>
      <c r="H37" t="str">
        <f>VLOOKUP(D37,Proizvodi!$A$1:$F$15,3,FALSE)</f>
        <v>Stolica za ručavanje</v>
      </c>
      <c r="I37" t="s">
        <v>454</v>
      </c>
      <c r="J37" t="str">
        <f>VLOOKUP(A37,Klijenti!$A$1:$F$11,2,FALSE)</f>
        <v>Stilski Stan</v>
      </c>
      <c r="K37" t="str">
        <f>VLOOKUP(A37,Klijenti!$A$1:$F$11,3,FALSE)</f>
        <v>Vojvodina i Beograd</v>
      </c>
    </row>
    <row r="38" spans="1:11">
      <c r="A38" s="5">
        <v>153</v>
      </c>
      <c r="B38" s="12">
        <v>45336</v>
      </c>
      <c r="C38" s="5">
        <v>688897</v>
      </c>
      <c r="D38" s="5" t="s">
        <v>93</v>
      </c>
      <c r="E38" s="5">
        <v>33</v>
      </c>
      <c r="F38" s="28" t="s">
        <v>175</v>
      </c>
      <c r="G38" t="str">
        <f>VLOOKUP(D38,Proizvodi!$A$1:$F$15,2,FALSE)</f>
        <v>Nameštaj za dnevnu sobu</v>
      </c>
      <c r="H38" t="str">
        <f>VLOOKUP(D38,Proizvodi!$A$1:$F$15,3,FALSE)</f>
        <v>Rasklopiva fotelja</v>
      </c>
      <c r="I38" t="s">
        <v>454</v>
      </c>
      <c r="J38" t="str">
        <f>VLOOKUP(A38,Klijenti!$A$1:$F$11,2,FALSE)</f>
        <v>Udobni Kutak</v>
      </c>
      <c r="K38" t="str">
        <f>VLOOKUP(A38,Klijenti!$A$1:$F$11,3,FALSE)</f>
        <v>Južni region</v>
      </c>
    </row>
    <row r="39" spans="1:11">
      <c r="A39" s="5">
        <v>195</v>
      </c>
      <c r="B39" s="12">
        <v>45366</v>
      </c>
      <c r="C39" s="5">
        <v>466126</v>
      </c>
      <c r="D39" s="5" t="s">
        <v>103</v>
      </c>
      <c r="E39" s="5">
        <v>44</v>
      </c>
      <c r="F39" s="28" t="s">
        <v>176</v>
      </c>
      <c r="G39" t="str">
        <f>VLOOKUP(D39,Proizvodi!$A$1:$F$15,2,FALSE)</f>
        <v>Nameštaj za dnevnu sobu</v>
      </c>
      <c r="H39" t="str">
        <f>VLOOKUP(D39,Proizvodi!$A$1:$F$15,3,FALSE)</f>
        <v>Tabure</v>
      </c>
      <c r="I39" t="s">
        <v>452</v>
      </c>
      <c r="J39" t="str">
        <f>VLOOKUP(A39,Klijenti!$A$1:$F$11,2,FALSE)</f>
        <v>Moderni Dom</v>
      </c>
      <c r="K39" t="str">
        <f>VLOOKUP(A39,Klijenti!$A$1:$F$11,3,FALSE)</f>
        <v>Srbija</v>
      </c>
    </row>
    <row r="40" spans="1:11">
      <c r="A40" s="5">
        <v>153</v>
      </c>
      <c r="B40" s="12">
        <v>45363</v>
      </c>
      <c r="C40" s="5">
        <v>688897</v>
      </c>
      <c r="D40" s="5" t="s">
        <v>98</v>
      </c>
      <c r="E40" s="5">
        <v>46</v>
      </c>
      <c r="F40" s="28" t="s">
        <v>177</v>
      </c>
      <c r="G40" t="str">
        <f>VLOOKUP(D40,Proizvodi!$A$1:$F$15,2,FALSE)</f>
        <v>Nameštaj za dnevnu sobu</v>
      </c>
      <c r="H40" t="str">
        <f>VLOOKUP(D40,Proizvodi!$A$1:$F$15,3,FALSE)</f>
        <v>Sofa</v>
      </c>
      <c r="I40" t="s">
        <v>454</v>
      </c>
      <c r="J40" t="str">
        <f>VLOOKUP(A40,Klijenti!$A$1:$F$11,2,FALSE)</f>
        <v>Udobni Kutak</v>
      </c>
      <c r="K40" t="str">
        <f>VLOOKUP(A40,Klijenti!$A$1:$F$11,3,FALSE)</f>
        <v>Južni region</v>
      </c>
    </row>
    <row r="41" spans="1:11">
      <c r="A41" s="5">
        <v>157</v>
      </c>
      <c r="B41" s="12">
        <v>45323</v>
      </c>
      <c r="C41" s="5">
        <v>688897</v>
      </c>
      <c r="D41" s="5" t="s">
        <v>76</v>
      </c>
      <c r="E41" s="5">
        <v>16</v>
      </c>
      <c r="F41" s="28" t="s">
        <v>178</v>
      </c>
      <c r="G41" t="str">
        <f>VLOOKUP(D41,Proizvodi!$A$1:$F$15,2,FALSE)</f>
        <v>Nameštaj za dnevnu sobu</v>
      </c>
      <c r="H41" t="str">
        <f>VLOOKUP(D41,Proizvodi!$A$1:$F$15,3,FALSE)</f>
        <v>Komoda</v>
      </c>
      <c r="I41" t="s">
        <v>454</v>
      </c>
      <c r="J41" t="str">
        <f>VLOOKUP(A41,Klijenti!$A$1:$F$11,2,FALSE)</f>
        <v>Stilski Stan</v>
      </c>
      <c r="K41" t="str">
        <f>VLOOKUP(A41,Klijenti!$A$1:$F$11,3,FALSE)</f>
        <v>Vojvodina i Beograd</v>
      </c>
    </row>
    <row r="42" spans="1:11">
      <c r="A42" s="5">
        <v>152</v>
      </c>
      <c r="B42" s="12">
        <v>45299</v>
      </c>
      <c r="C42" s="5">
        <v>171444</v>
      </c>
      <c r="D42" s="5" t="s">
        <v>103</v>
      </c>
      <c r="E42" s="5">
        <v>25</v>
      </c>
      <c r="F42" s="28" t="s">
        <v>179</v>
      </c>
      <c r="G42" t="str">
        <f>VLOOKUP(D42,Proizvodi!$A$1:$F$15,2,FALSE)</f>
        <v>Nameštaj za dnevnu sobu</v>
      </c>
      <c r="H42" t="str">
        <f>VLOOKUP(D42,Proizvodi!$A$1:$F$15,3,FALSE)</f>
        <v>Tabure</v>
      </c>
      <c r="I42" t="s">
        <v>456</v>
      </c>
      <c r="J42" t="str">
        <f>VLOOKUP(A42,Klijenti!$A$1:$F$11,2,FALSE)</f>
        <v>Prostor za Uživanje</v>
      </c>
      <c r="K42" t="str">
        <f>VLOOKUP(A42,Klijenti!$A$1:$F$11,3,FALSE)</f>
        <v>Srbija</v>
      </c>
    </row>
    <row r="43" spans="1:11">
      <c r="A43" s="5">
        <v>108</v>
      </c>
      <c r="B43" s="12">
        <v>45359</v>
      </c>
      <c r="C43" s="5">
        <v>466126</v>
      </c>
      <c r="D43" s="5" t="s">
        <v>89</v>
      </c>
      <c r="E43" s="5">
        <v>46</v>
      </c>
      <c r="F43" s="28" t="s">
        <v>180</v>
      </c>
      <c r="G43" t="str">
        <f>VLOOKUP(D43,Proizvodi!$A$1:$F$15,2,FALSE)</f>
        <v>Nameštaj za dnevnu sobu</v>
      </c>
      <c r="H43" t="str">
        <f>VLOOKUP(D43,Proizvodi!$A$1:$F$15,3,FALSE)</f>
        <v>Ogledalo za zid</v>
      </c>
      <c r="I43" t="s">
        <v>452</v>
      </c>
      <c r="J43" t="str">
        <f>VLOOKUP(A43,Klijenti!$A$1:$F$11,2,FALSE)</f>
        <v>Dom &amp; Dekor</v>
      </c>
      <c r="K43" t="str">
        <f>VLOOKUP(A43,Klijenti!$A$1:$F$11,3,FALSE)</f>
        <v>Beogradski region</v>
      </c>
    </row>
    <row r="44" spans="1:11">
      <c r="A44" s="5">
        <v>151</v>
      </c>
      <c r="B44" s="12">
        <v>45306</v>
      </c>
      <c r="C44" s="5">
        <v>443480</v>
      </c>
      <c r="D44" s="5" t="s">
        <v>103</v>
      </c>
      <c r="E44" s="5">
        <v>50</v>
      </c>
      <c r="F44" s="28" t="s">
        <v>181</v>
      </c>
      <c r="G44" t="str">
        <f>VLOOKUP(D44,Proizvodi!$A$1:$F$15,2,FALSE)</f>
        <v>Nameštaj za dnevnu sobu</v>
      </c>
      <c r="H44" t="str">
        <f>VLOOKUP(D44,Proizvodi!$A$1:$F$15,3,FALSE)</f>
        <v>Tabure</v>
      </c>
      <c r="I44" t="s">
        <v>453</v>
      </c>
      <c r="J44" t="str">
        <f>VLOOKUP(A44,Klijenti!$A$1:$F$11,2,FALSE)</f>
        <v>Estetski Kutak</v>
      </c>
      <c r="K44" t="str">
        <f>VLOOKUP(A44,Klijenti!$A$1:$F$11,3,FALSE)</f>
        <v>Srbija</v>
      </c>
    </row>
    <row r="45" spans="1:11">
      <c r="A45" s="5">
        <v>157</v>
      </c>
      <c r="B45" s="12">
        <v>45299</v>
      </c>
      <c r="C45" s="5">
        <v>688897</v>
      </c>
      <c r="D45" s="5" t="s">
        <v>103</v>
      </c>
      <c r="E45" s="5">
        <v>25</v>
      </c>
      <c r="F45" s="28" t="s">
        <v>182</v>
      </c>
      <c r="G45" t="str">
        <f>VLOOKUP(D45,Proizvodi!$A$1:$F$15,2,FALSE)</f>
        <v>Nameštaj za dnevnu sobu</v>
      </c>
      <c r="H45" t="str">
        <f>VLOOKUP(D45,Proizvodi!$A$1:$F$15,3,FALSE)</f>
        <v>Tabure</v>
      </c>
      <c r="I45" t="s">
        <v>454</v>
      </c>
      <c r="J45" t="str">
        <f>VLOOKUP(A45,Klijenti!$A$1:$F$11,2,FALSE)</f>
        <v>Stilski Stan</v>
      </c>
      <c r="K45" t="str">
        <f>VLOOKUP(A45,Klijenti!$A$1:$F$11,3,FALSE)</f>
        <v>Vojvodina i Beograd</v>
      </c>
    </row>
    <row r="46" spans="1:11">
      <c r="A46" s="5">
        <v>195</v>
      </c>
      <c r="B46" s="12">
        <v>45321</v>
      </c>
      <c r="C46" s="5">
        <v>466126</v>
      </c>
      <c r="D46" s="5" t="s">
        <v>105</v>
      </c>
      <c r="E46" s="5">
        <v>5</v>
      </c>
      <c r="F46" s="28" t="s">
        <v>183</v>
      </c>
      <c r="G46" t="str">
        <f>VLOOKUP(D46,Proizvodi!$A$1:$F$15,2,FALSE)</f>
        <v>Trpezarija</v>
      </c>
      <c r="H46" t="str">
        <f>VLOOKUP(D46,Proizvodi!$A$1:$F$15,3,FALSE)</f>
        <v>Trpezarijski sto</v>
      </c>
      <c r="I46" t="s">
        <v>452</v>
      </c>
      <c r="J46" t="str">
        <f>VLOOKUP(A46,Klijenti!$A$1:$F$11,2,FALSE)</f>
        <v>Moderni Dom</v>
      </c>
      <c r="K46" t="str">
        <f>VLOOKUP(A46,Klijenti!$A$1:$F$11,3,FALSE)</f>
        <v>Srbija</v>
      </c>
    </row>
    <row r="47" spans="1:11">
      <c r="A47" s="5">
        <v>153</v>
      </c>
      <c r="B47" s="12">
        <v>45352</v>
      </c>
      <c r="C47" s="5">
        <v>688897</v>
      </c>
      <c r="D47" s="5" t="s">
        <v>84</v>
      </c>
      <c r="E47" s="5">
        <v>23</v>
      </c>
      <c r="F47" s="28" t="s">
        <v>184</v>
      </c>
      <c r="G47" t="str">
        <f>VLOOKUP(D47,Proizvodi!$A$1:$F$15,2,FALSE)</f>
        <v>Nameštaj za spavaću sobu</v>
      </c>
      <c r="H47" t="str">
        <f>VLOOKUP(D47,Proizvodi!$A$1:$F$15,3,FALSE)</f>
        <v>Noćni ormarić</v>
      </c>
      <c r="I47" t="s">
        <v>454</v>
      </c>
      <c r="J47" t="str">
        <f>VLOOKUP(A47,Klijenti!$A$1:$F$11,2,FALSE)</f>
        <v>Udobni Kutak</v>
      </c>
      <c r="K47" t="str">
        <f>VLOOKUP(A47,Klijenti!$A$1:$F$11,3,FALSE)</f>
        <v>Južni region</v>
      </c>
    </row>
    <row r="48" spans="1:11">
      <c r="A48" s="5">
        <v>157</v>
      </c>
      <c r="B48" s="12">
        <v>45358</v>
      </c>
      <c r="C48" s="5">
        <v>688897</v>
      </c>
      <c r="D48" s="5" t="s">
        <v>105</v>
      </c>
      <c r="E48" s="5">
        <v>23</v>
      </c>
      <c r="F48" s="28" t="s">
        <v>185</v>
      </c>
      <c r="G48" t="str">
        <f>VLOOKUP(D48,Proizvodi!$A$1:$F$15,2,FALSE)</f>
        <v>Trpezarija</v>
      </c>
      <c r="H48" t="str">
        <f>VLOOKUP(D48,Proizvodi!$A$1:$F$15,3,FALSE)</f>
        <v>Trpezarijski sto</v>
      </c>
      <c r="I48" t="s">
        <v>454</v>
      </c>
      <c r="J48" t="str">
        <f>VLOOKUP(A48,Klijenti!$A$1:$F$11,2,FALSE)</f>
        <v>Stilski Stan</v>
      </c>
      <c r="K48" t="str">
        <f>VLOOKUP(A48,Klijenti!$A$1:$F$11,3,FALSE)</f>
        <v>Vojvodina i Beograd</v>
      </c>
    </row>
    <row r="49" spans="1:11">
      <c r="A49" s="5">
        <v>152</v>
      </c>
      <c r="B49" s="12">
        <v>45364</v>
      </c>
      <c r="C49" s="5">
        <v>171444</v>
      </c>
      <c r="D49" s="5" t="s">
        <v>79</v>
      </c>
      <c r="E49" s="5">
        <v>2</v>
      </c>
      <c r="F49" s="28" t="s">
        <v>186</v>
      </c>
      <c r="G49" t="str">
        <f>VLOOKUP(D49,Proizvodi!$A$1:$F$15,2,FALSE)</f>
        <v>Kuhinja</v>
      </c>
      <c r="H49" t="str">
        <f>VLOOKUP(D49,Proizvodi!$A$1:$F$15,3,FALSE)</f>
        <v>Kuhinjsko ostrvo</v>
      </c>
      <c r="I49" t="s">
        <v>456</v>
      </c>
      <c r="J49" t="str">
        <f>VLOOKUP(A49,Klijenti!$A$1:$F$11,2,FALSE)</f>
        <v>Prostor za Uživanje</v>
      </c>
      <c r="K49" t="str">
        <f>VLOOKUP(A49,Klijenti!$A$1:$F$11,3,FALSE)</f>
        <v>Srbija</v>
      </c>
    </row>
    <row r="50" spans="1:11">
      <c r="A50" s="5">
        <v>152</v>
      </c>
      <c r="B50" s="12">
        <v>45305</v>
      </c>
      <c r="C50" s="5">
        <v>466126</v>
      </c>
      <c r="D50" s="5" t="s">
        <v>76</v>
      </c>
      <c r="E50" s="5">
        <v>49</v>
      </c>
      <c r="F50" s="28" t="s">
        <v>187</v>
      </c>
      <c r="G50" t="str">
        <f>VLOOKUP(D50,Proizvodi!$A$1:$F$15,2,FALSE)</f>
        <v>Nameštaj za dnevnu sobu</v>
      </c>
      <c r="H50" t="str">
        <f>VLOOKUP(D50,Proizvodi!$A$1:$F$15,3,FALSE)</f>
        <v>Komoda</v>
      </c>
      <c r="I50" t="s">
        <v>452</v>
      </c>
      <c r="J50" t="str">
        <f>VLOOKUP(A50,Klijenti!$A$1:$F$11,2,FALSE)</f>
        <v>Prostor za Uživanje</v>
      </c>
      <c r="K50" t="str">
        <f>VLOOKUP(A50,Klijenti!$A$1:$F$11,3,FALSE)</f>
        <v>Srbija</v>
      </c>
    </row>
    <row r="51" spans="1:11">
      <c r="A51" s="5">
        <v>163</v>
      </c>
      <c r="B51" s="12">
        <v>45336</v>
      </c>
      <c r="C51" s="5">
        <v>443480</v>
      </c>
      <c r="D51" s="5" t="s">
        <v>93</v>
      </c>
      <c r="E51" s="5">
        <v>36</v>
      </c>
      <c r="F51" s="28" t="s">
        <v>188</v>
      </c>
      <c r="G51" t="str">
        <f>VLOOKUP(D51,Proizvodi!$A$1:$F$15,2,FALSE)</f>
        <v>Nameštaj za dnevnu sobu</v>
      </c>
      <c r="H51" t="str">
        <f>VLOOKUP(D51,Proizvodi!$A$1:$F$15,3,FALSE)</f>
        <v>Rasklopiva fotelja</v>
      </c>
      <c r="I51" t="s">
        <v>453</v>
      </c>
      <c r="J51" t="str">
        <f>VLOOKUP(A51,Klijenti!$A$1:$F$11,2,FALSE)</f>
        <v>Sofistikacija Doma</v>
      </c>
      <c r="K51" t="str">
        <f>VLOOKUP(A51,Klijenti!$A$1:$F$11,3,FALSE)</f>
        <v>Šumadija</v>
      </c>
    </row>
    <row r="52" spans="1:11">
      <c r="A52" s="5">
        <v>179</v>
      </c>
      <c r="B52" s="12">
        <v>45368</v>
      </c>
      <c r="C52" s="5">
        <v>243994</v>
      </c>
      <c r="D52" s="5" t="s">
        <v>91</v>
      </c>
      <c r="E52" s="5">
        <v>45</v>
      </c>
      <c r="F52" s="28" t="s">
        <v>189</v>
      </c>
      <c r="G52" t="str">
        <f>VLOOKUP(D52,Proizvodi!$A$1:$F$15,2,FALSE)</f>
        <v>Nameštaj za dnevnu sobu</v>
      </c>
      <c r="H52" t="str">
        <f>VLOOKUP(D52,Proizvodi!$A$1:$F$15,3,FALSE)</f>
        <v>Polica za knjige</v>
      </c>
      <c r="I52" t="s">
        <v>455</v>
      </c>
      <c r="J52" t="str">
        <f>VLOOKUP(A52,Klijenti!$A$1:$F$11,2,FALSE)</f>
        <v>Elegantni Enterijeri</v>
      </c>
      <c r="K52" t="str">
        <f>VLOOKUP(A52,Klijenti!$A$1:$F$11,3,FALSE)</f>
        <v>Južni i Šumadijski region</v>
      </c>
    </row>
    <row r="53" spans="1:11">
      <c r="A53" s="5">
        <v>195</v>
      </c>
      <c r="B53" s="12">
        <v>45351</v>
      </c>
      <c r="C53" s="5">
        <v>466126</v>
      </c>
      <c r="D53" s="5" t="s">
        <v>91</v>
      </c>
      <c r="E53" s="5">
        <v>21</v>
      </c>
      <c r="F53" s="28" t="s">
        <v>190</v>
      </c>
      <c r="G53" t="str">
        <f>VLOOKUP(D53,Proizvodi!$A$1:$F$15,2,FALSE)</f>
        <v>Nameštaj za dnevnu sobu</v>
      </c>
      <c r="H53" t="str">
        <f>VLOOKUP(D53,Proizvodi!$A$1:$F$15,3,FALSE)</f>
        <v>Polica za knjige</v>
      </c>
      <c r="I53" t="s">
        <v>452</v>
      </c>
      <c r="J53" t="str">
        <f>VLOOKUP(A53,Klijenti!$A$1:$F$11,2,FALSE)</f>
        <v>Moderni Dom</v>
      </c>
      <c r="K53" t="str">
        <f>VLOOKUP(A53,Klijenti!$A$1:$F$11,3,FALSE)</f>
        <v>Srbija</v>
      </c>
    </row>
    <row r="54" spans="1:11">
      <c r="A54" s="5">
        <v>152</v>
      </c>
      <c r="B54" s="12">
        <v>45342</v>
      </c>
      <c r="C54" s="5">
        <v>171444</v>
      </c>
      <c r="D54" s="5" t="s">
        <v>79</v>
      </c>
      <c r="E54" s="5">
        <v>28</v>
      </c>
      <c r="F54" s="28" t="s">
        <v>191</v>
      </c>
      <c r="G54" t="str">
        <f>VLOOKUP(D54,Proizvodi!$A$1:$F$15,2,FALSE)</f>
        <v>Kuhinja</v>
      </c>
      <c r="H54" t="str">
        <f>VLOOKUP(D54,Proizvodi!$A$1:$F$15,3,FALSE)</f>
        <v>Kuhinjsko ostrvo</v>
      </c>
      <c r="I54" t="s">
        <v>456</v>
      </c>
      <c r="J54" t="str">
        <f>VLOOKUP(A54,Klijenti!$A$1:$F$11,2,FALSE)</f>
        <v>Prostor za Uživanje</v>
      </c>
      <c r="K54" t="str">
        <f>VLOOKUP(A54,Klijenti!$A$1:$F$11,3,FALSE)</f>
        <v>Srbija</v>
      </c>
    </row>
    <row r="55" spans="1:11">
      <c r="A55" s="5">
        <v>163</v>
      </c>
      <c r="B55" s="12">
        <v>45379</v>
      </c>
      <c r="C55" s="5">
        <v>443480</v>
      </c>
      <c r="D55" s="5" t="s">
        <v>107</v>
      </c>
      <c r="E55" s="5">
        <v>11</v>
      </c>
      <c r="F55" s="28" t="s">
        <v>192</v>
      </c>
      <c r="G55" t="str">
        <f>VLOOKUP(D55,Proizvodi!$A$1:$F$15,2,FALSE)</f>
        <v>Kuhinja</v>
      </c>
      <c r="H55" t="str">
        <f>VLOOKUP(D55,Proizvodi!$A$1:$F$15,3,FALSE)</f>
        <v>Viseća polica</v>
      </c>
      <c r="I55" t="s">
        <v>453</v>
      </c>
      <c r="J55" t="str">
        <f>VLOOKUP(A55,Klijenti!$A$1:$F$11,2,FALSE)</f>
        <v>Sofistikacija Doma</v>
      </c>
      <c r="K55" t="str">
        <f>VLOOKUP(A55,Klijenti!$A$1:$F$11,3,FALSE)</f>
        <v>Šumadija</v>
      </c>
    </row>
    <row r="56" spans="1:11">
      <c r="A56" s="5">
        <v>152</v>
      </c>
      <c r="B56" s="12">
        <v>45314</v>
      </c>
      <c r="C56" s="5">
        <v>171444</v>
      </c>
      <c r="D56" s="5" t="s">
        <v>91</v>
      </c>
      <c r="E56" s="5">
        <v>21</v>
      </c>
      <c r="F56" s="28" t="s">
        <v>193</v>
      </c>
      <c r="G56" t="str">
        <f>VLOOKUP(D56,Proizvodi!$A$1:$F$15,2,FALSE)</f>
        <v>Nameštaj za dnevnu sobu</v>
      </c>
      <c r="H56" t="str">
        <f>VLOOKUP(D56,Proizvodi!$A$1:$F$15,3,FALSE)</f>
        <v>Polica za knjige</v>
      </c>
      <c r="I56" t="s">
        <v>456</v>
      </c>
      <c r="J56" t="str">
        <f>VLOOKUP(A56,Klijenti!$A$1:$F$11,2,FALSE)</f>
        <v>Prostor za Uživanje</v>
      </c>
      <c r="K56" t="str">
        <f>VLOOKUP(A56,Klijenti!$A$1:$F$11,3,FALSE)</f>
        <v>Srbija</v>
      </c>
    </row>
    <row r="57" spans="1:11">
      <c r="A57" s="5">
        <v>195</v>
      </c>
      <c r="B57" s="12">
        <v>45377</v>
      </c>
      <c r="C57" s="5">
        <v>466126</v>
      </c>
      <c r="D57" s="5" t="s">
        <v>91</v>
      </c>
      <c r="E57" s="5">
        <v>16</v>
      </c>
      <c r="F57" s="28" t="s">
        <v>194</v>
      </c>
      <c r="G57" t="str">
        <f>VLOOKUP(D57,Proizvodi!$A$1:$F$15,2,FALSE)</f>
        <v>Nameštaj za dnevnu sobu</v>
      </c>
      <c r="H57" t="str">
        <f>VLOOKUP(D57,Proizvodi!$A$1:$F$15,3,FALSE)</f>
        <v>Polica za knjige</v>
      </c>
      <c r="I57" t="s">
        <v>452</v>
      </c>
      <c r="J57" t="str">
        <f>VLOOKUP(A57,Klijenti!$A$1:$F$11,2,FALSE)</f>
        <v>Moderni Dom</v>
      </c>
      <c r="K57" t="str">
        <f>VLOOKUP(A57,Klijenti!$A$1:$F$11,3,FALSE)</f>
        <v>Srbija</v>
      </c>
    </row>
    <row r="58" spans="1:11">
      <c r="A58" s="5">
        <v>157</v>
      </c>
      <c r="B58" s="12">
        <v>45331</v>
      </c>
      <c r="C58" s="5">
        <v>688897</v>
      </c>
      <c r="D58" s="5" t="s">
        <v>103</v>
      </c>
      <c r="E58" s="5">
        <v>16</v>
      </c>
      <c r="F58" s="28" t="s">
        <v>195</v>
      </c>
      <c r="G58" t="str">
        <f>VLOOKUP(D58,Proizvodi!$A$1:$F$15,2,FALSE)</f>
        <v>Nameštaj za dnevnu sobu</v>
      </c>
      <c r="H58" t="str">
        <f>VLOOKUP(D58,Proizvodi!$A$1:$F$15,3,FALSE)</f>
        <v>Tabure</v>
      </c>
      <c r="I58" t="s">
        <v>454</v>
      </c>
      <c r="J58" t="str">
        <f>VLOOKUP(A58,Klijenti!$A$1:$F$11,2,FALSE)</f>
        <v>Stilski Stan</v>
      </c>
      <c r="K58" t="str">
        <f>VLOOKUP(A58,Klijenti!$A$1:$F$11,3,FALSE)</f>
        <v>Vojvodina i Beograd</v>
      </c>
    </row>
    <row r="59" spans="1:11">
      <c r="A59" s="5">
        <v>127</v>
      </c>
      <c r="B59" s="12">
        <v>45323</v>
      </c>
      <c r="C59" s="5">
        <v>171444</v>
      </c>
      <c r="D59" s="5" t="s">
        <v>89</v>
      </c>
      <c r="E59" s="5">
        <v>19</v>
      </c>
      <c r="F59" s="28" t="s">
        <v>196</v>
      </c>
      <c r="G59" t="str">
        <f>VLOOKUP(D59,Proizvodi!$A$1:$F$15,2,FALSE)</f>
        <v>Nameštaj za dnevnu sobu</v>
      </c>
      <c r="H59" t="str">
        <f>VLOOKUP(D59,Proizvodi!$A$1:$F$15,3,FALSE)</f>
        <v>Ogledalo za zid</v>
      </c>
      <c r="I59" t="s">
        <v>456</v>
      </c>
      <c r="J59" t="str">
        <f>VLOOKUP(A59,Klijenti!$A$1:$F$11,2,FALSE)</f>
        <v>Luksuzni Dizajn</v>
      </c>
      <c r="K59" t="str">
        <f>VLOOKUP(A59,Klijenti!$A$1:$F$11,3,FALSE)</f>
        <v>Vojvodina</v>
      </c>
    </row>
    <row r="60" spans="1:11">
      <c r="A60" s="5">
        <v>108</v>
      </c>
      <c r="B60" s="12">
        <v>45350</v>
      </c>
      <c r="C60" s="5">
        <v>466126</v>
      </c>
      <c r="D60" s="5" t="s">
        <v>95</v>
      </c>
      <c r="E60" s="5">
        <v>40</v>
      </c>
      <c r="F60" s="28" t="s">
        <v>197</v>
      </c>
      <c r="G60" t="str">
        <f>VLOOKUP(D60,Proizvodi!$A$1:$F$15,2,FALSE)</f>
        <v>Nameštaj za radnu sobu</v>
      </c>
      <c r="H60" t="str">
        <f>VLOOKUP(D60,Proizvodi!$A$1:$F$15,3,FALSE)</f>
        <v>Radni sto</v>
      </c>
      <c r="I60" t="s">
        <v>452</v>
      </c>
      <c r="J60" t="str">
        <f>VLOOKUP(A60,Klijenti!$A$1:$F$11,2,FALSE)</f>
        <v>Dom &amp; Dekor</v>
      </c>
      <c r="K60" t="str">
        <f>VLOOKUP(A60,Klijenti!$A$1:$F$11,3,FALSE)</f>
        <v>Beogradski region</v>
      </c>
    </row>
    <row r="61" spans="1:11">
      <c r="A61" s="5">
        <v>127</v>
      </c>
      <c r="B61" s="12">
        <v>45358</v>
      </c>
      <c r="C61" s="5">
        <v>171444</v>
      </c>
      <c r="D61" s="5" t="s">
        <v>84</v>
      </c>
      <c r="E61" s="5">
        <v>20</v>
      </c>
      <c r="F61" s="28" t="s">
        <v>198</v>
      </c>
      <c r="G61" t="str">
        <f>VLOOKUP(D61,Proizvodi!$A$1:$F$15,2,FALSE)</f>
        <v>Nameštaj za spavaću sobu</v>
      </c>
      <c r="H61" t="str">
        <f>VLOOKUP(D61,Proizvodi!$A$1:$F$15,3,FALSE)</f>
        <v>Noćni ormarić</v>
      </c>
      <c r="I61" t="s">
        <v>456</v>
      </c>
      <c r="J61" t="str">
        <f>VLOOKUP(A61,Klijenti!$A$1:$F$11,2,FALSE)</f>
        <v>Luksuzni Dizajn</v>
      </c>
      <c r="K61" t="str">
        <f>VLOOKUP(A61,Klijenti!$A$1:$F$11,3,FALSE)</f>
        <v>Vojvodina</v>
      </c>
    </row>
    <row r="62" spans="1:11">
      <c r="A62" s="5">
        <v>152</v>
      </c>
      <c r="B62" s="12">
        <v>45327</v>
      </c>
      <c r="C62" s="5">
        <v>171444</v>
      </c>
      <c r="D62" s="5" t="s">
        <v>100</v>
      </c>
      <c r="E62" s="5">
        <v>47</v>
      </c>
      <c r="F62" s="28" t="s">
        <v>199</v>
      </c>
      <c r="G62" t="str">
        <f>VLOOKUP(D62,Proizvodi!$A$1:$F$15,2,FALSE)</f>
        <v>Trpezarija</v>
      </c>
      <c r="H62" t="str">
        <f>VLOOKUP(D62,Proizvodi!$A$1:$F$15,3,FALSE)</f>
        <v>Stolica za ručavanje</v>
      </c>
      <c r="I62" t="s">
        <v>456</v>
      </c>
      <c r="J62" t="str">
        <f>VLOOKUP(A62,Klijenti!$A$1:$F$11,2,FALSE)</f>
        <v>Prostor za Uživanje</v>
      </c>
      <c r="K62" t="str">
        <f>VLOOKUP(A62,Klijenti!$A$1:$F$11,3,FALSE)</f>
        <v>Srbija</v>
      </c>
    </row>
    <row r="63" spans="1:11">
      <c r="A63" s="5">
        <v>163</v>
      </c>
      <c r="B63" s="12">
        <v>45304</v>
      </c>
      <c r="C63" s="5">
        <v>443480</v>
      </c>
      <c r="D63" s="5" t="s">
        <v>95</v>
      </c>
      <c r="E63" s="5">
        <v>10</v>
      </c>
      <c r="F63" s="28" t="s">
        <v>200</v>
      </c>
      <c r="G63" t="str">
        <f>VLOOKUP(D63,Proizvodi!$A$1:$F$15,2,FALSE)</f>
        <v>Nameštaj za radnu sobu</v>
      </c>
      <c r="H63" t="str">
        <f>VLOOKUP(D63,Proizvodi!$A$1:$F$15,3,FALSE)</f>
        <v>Radni sto</v>
      </c>
      <c r="I63" t="s">
        <v>453</v>
      </c>
      <c r="J63" t="str">
        <f>VLOOKUP(A63,Klijenti!$A$1:$F$11,2,FALSE)</f>
        <v>Sofistikacija Doma</v>
      </c>
      <c r="K63" t="str">
        <f>VLOOKUP(A63,Klijenti!$A$1:$F$11,3,FALSE)</f>
        <v>Šumadija</v>
      </c>
    </row>
    <row r="64" spans="1:11">
      <c r="A64" s="5">
        <v>108</v>
      </c>
      <c r="B64" s="12">
        <v>45378</v>
      </c>
      <c r="C64" s="5">
        <v>466126</v>
      </c>
      <c r="D64" s="5" t="s">
        <v>93</v>
      </c>
      <c r="E64" s="5">
        <v>35</v>
      </c>
      <c r="F64" s="28" t="s">
        <v>201</v>
      </c>
      <c r="G64" t="str">
        <f>VLOOKUP(D64,Proizvodi!$A$1:$F$15,2,FALSE)</f>
        <v>Nameštaj za dnevnu sobu</v>
      </c>
      <c r="H64" t="str">
        <f>VLOOKUP(D64,Proizvodi!$A$1:$F$15,3,FALSE)</f>
        <v>Rasklopiva fotelja</v>
      </c>
      <c r="I64" t="s">
        <v>452</v>
      </c>
      <c r="J64" t="str">
        <f>VLOOKUP(A64,Klijenti!$A$1:$F$11,2,FALSE)</f>
        <v>Dom &amp; Dekor</v>
      </c>
      <c r="K64" t="str">
        <f>VLOOKUP(A64,Klijenti!$A$1:$F$11,3,FALSE)</f>
        <v>Beogradski region</v>
      </c>
    </row>
    <row r="65" spans="1:11">
      <c r="A65" s="5">
        <v>152</v>
      </c>
      <c r="B65" s="12">
        <v>45335</v>
      </c>
      <c r="C65" s="5">
        <v>171444</v>
      </c>
      <c r="D65" s="5" t="s">
        <v>105</v>
      </c>
      <c r="E65" s="5">
        <v>49</v>
      </c>
      <c r="F65" s="28" t="s">
        <v>202</v>
      </c>
      <c r="G65" t="str">
        <f>VLOOKUP(D65,Proizvodi!$A$1:$F$15,2,FALSE)</f>
        <v>Trpezarija</v>
      </c>
      <c r="H65" t="str">
        <f>VLOOKUP(D65,Proizvodi!$A$1:$F$15,3,FALSE)</f>
        <v>Trpezarijski sto</v>
      </c>
      <c r="I65" t="s">
        <v>456</v>
      </c>
      <c r="J65" t="str">
        <f>VLOOKUP(A65,Klijenti!$A$1:$F$11,2,FALSE)</f>
        <v>Prostor za Uživanje</v>
      </c>
      <c r="K65" t="str">
        <f>VLOOKUP(A65,Klijenti!$A$1:$F$11,3,FALSE)</f>
        <v>Srbija</v>
      </c>
    </row>
    <row r="66" spans="1:11">
      <c r="A66" s="5">
        <v>127</v>
      </c>
      <c r="B66" s="12">
        <v>45362</v>
      </c>
      <c r="C66" s="5">
        <v>171444</v>
      </c>
      <c r="D66" s="5" t="s">
        <v>98</v>
      </c>
      <c r="E66" s="5">
        <v>14</v>
      </c>
      <c r="F66" s="28" t="s">
        <v>203</v>
      </c>
      <c r="G66" t="str">
        <f>VLOOKUP(D66,Proizvodi!$A$1:$F$15,2,FALSE)</f>
        <v>Nameštaj za dnevnu sobu</v>
      </c>
      <c r="H66" t="str">
        <f>VLOOKUP(D66,Proizvodi!$A$1:$F$15,3,FALSE)</f>
        <v>Sofa</v>
      </c>
      <c r="I66" t="s">
        <v>456</v>
      </c>
      <c r="J66" t="str">
        <f>VLOOKUP(A66,Klijenti!$A$1:$F$11,2,FALSE)</f>
        <v>Luksuzni Dizajn</v>
      </c>
      <c r="K66" t="str">
        <f>VLOOKUP(A66,Klijenti!$A$1:$F$11,3,FALSE)</f>
        <v>Vojvodina</v>
      </c>
    </row>
    <row r="67" spans="1:11">
      <c r="A67" s="5">
        <v>163</v>
      </c>
      <c r="B67" s="12">
        <v>45374</v>
      </c>
      <c r="C67" s="5">
        <v>443480</v>
      </c>
      <c r="D67" s="5" t="s">
        <v>98</v>
      </c>
      <c r="E67" s="5">
        <v>21</v>
      </c>
      <c r="F67" s="28" t="s">
        <v>204</v>
      </c>
      <c r="G67" t="str">
        <f>VLOOKUP(D67,Proizvodi!$A$1:$F$15,2,FALSE)</f>
        <v>Nameštaj za dnevnu sobu</v>
      </c>
      <c r="H67" t="str">
        <f>VLOOKUP(D67,Proizvodi!$A$1:$F$15,3,FALSE)</f>
        <v>Sofa</v>
      </c>
      <c r="I67" t="s">
        <v>453</v>
      </c>
      <c r="J67" t="str">
        <f>VLOOKUP(A67,Klijenti!$A$1:$F$11,2,FALSE)</f>
        <v>Sofistikacija Doma</v>
      </c>
      <c r="K67" t="str">
        <f>VLOOKUP(A67,Klijenti!$A$1:$F$11,3,FALSE)</f>
        <v>Šumadija</v>
      </c>
    </row>
    <row r="68" spans="1:11">
      <c r="A68" s="5">
        <v>195</v>
      </c>
      <c r="B68" s="12">
        <v>45335</v>
      </c>
      <c r="C68" s="5">
        <v>466126</v>
      </c>
      <c r="D68" s="5" t="s">
        <v>105</v>
      </c>
      <c r="E68" s="5">
        <v>13</v>
      </c>
      <c r="F68" s="28" t="s">
        <v>205</v>
      </c>
      <c r="G68" t="str">
        <f>VLOOKUP(D68,Proizvodi!$A$1:$F$15,2,FALSE)</f>
        <v>Trpezarija</v>
      </c>
      <c r="H68" t="str">
        <f>VLOOKUP(D68,Proizvodi!$A$1:$F$15,3,FALSE)</f>
        <v>Trpezarijski sto</v>
      </c>
      <c r="I68" t="s">
        <v>452</v>
      </c>
      <c r="J68" t="str">
        <f>VLOOKUP(A68,Klijenti!$A$1:$F$11,2,FALSE)</f>
        <v>Moderni Dom</v>
      </c>
      <c r="K68" t="str">
        <f>VLOOKUP(A68,Klijenti!$A$1:$F$11,3,FALSE)</f>
        <v>Srbija</v>
      </c>
    </row>
    <row r="69" spans="1:11">
      <c r="A69" s="5">
        <v>153</v>
      </c>
      <c r="B69" s="12">
        <v>45358</v>
      </c>
      <c r="C69" s="5">
        <v>688897</v>
      </c>
      <c r="D69" s="5" t="s">
        <v>82</v>
      </c>
      <c r="E69" s="5">
        <v>10</v>
      </c>
      <c r="F69" s="28" t="s">
        <v>206</v>
      </c>
      <c r="G69" t="str">
        <f>VLOOKUP(D69,Proizvodi!$A$1:$F$15,2,FALSE)</f>
        <v>Nameštaj za dnevnu sobu</v>
      </c>
      <c r="H69" t="str">
        <f>VLOOKUP(D69,Proizvodi!$A$1:$F$15,3,FALSE)</f>
        <v>Klub sto</v>
      </c>
      <c r="I69" t="s">
        <v>454</v>
      </c>
      <c r="J69" t="str">
        <f>VLOOKUP(A69,Klijenti!$A$1:$F$11,2,FALSE)</f>
        <v>Udobni Kutak</v>
      </c>
      <c r="K69" t="str">
        <f>VLOOKUP(A69,Klijenti!$A$1:$F$11,3,FALSE)</f>
        <v>Južni region</v>
      </c>
    </row>
    <row r="70" spans="1:11">
      <c r="A70" s="5">
        <v>163</v>
      </c>
      <c r="B70" s="12">
        <v>45353</v>
      </c>
      <c r="C70" s="5">
        <v>443480</v>
      </c>
      <c r="D70" s="5" t="s">
        <v>84</v>
      </c>
      <c r="E70" s="5">
        <v>14</v>
      </c>
      <c r="F70" s="28" t="s">
        <v>207</v>
      </c>
      <c r="G70" t="str">
        <f>VLOOKUP(D70,Proizvodi!$A$1:$F$15,2,FALSE)</f>
        <v>Nameštaj za spavaću sobu</v>
      </c>
      <c r="H70" t="str">
        <f>VLOOKUP(D70,Proizvodi!$A$1:$F$15,3,FALSE)</f>
        <v>Noćni ormarić</v>
      </c>
      <c r="I70" t="s">
        <v>453</v>
      </c>
      <c r="J70" t="str">
        <f>VLOOKUP(A70,Klijenti!$A$1:$F$11,2,FALSE)</f>
        <v>Sofistikacija Doma</v>
      </c>
      <c r="K70" t="str">
        <f>VLOOKUP(A70,Klijenti!$A$1:$F$11,3,FALSE)</f>
        <v>Šumadija</v>
      </c>
    </row>
    <row r="71" spans="1:11">
      <c r="A71" s="5">
        <v>127</v>
      </c>
      <c r="B71" s="12">
        <v>45366</v>
      </c>
      <c r="C71" s="5">
        <v>171444</v>
      </c>
      <c r="D71" s="5" t="s">
        <v>93</v>
      </c>
      <c r="E71" s="5">
        <v>1</v>
      </c>
      <c r="F71" s="28" t="s">
        <v>208</v>
      </c>
      <c r="G71" t="str">
        <f>VLOOKUP(D71,Proizvodi!$A$1:$F$15,2,FALSE)</f>
        <v>Nameštaj za dnevnu sobu</v>
      </c>
      <c r="H71" t="str">
        <f>VLOOKUP(D71,Proizvodi!$A$1:$F$15,3,FALSE)</f>
        <v>Rasklopiva fotelja</v>
      </c>
      <c r="I71" t="s">
        <v>456</v>
      </c>
      <c r="J71" t="str">
        <f>VLOOKUP(A71,Klijenti!$A$1:$F$11,2,FALSE)</f>
        <v>Luksuzni Dizajn</v>
      </c>
      <c r="K71" t="str">
        <f>VLOOKUP(A71,Klijenti!$A$1:$F$11,3,FALSE)</f>
        <v>Vojvodina</v>
      </c>
    </row>
    <row r="72" spans="1:11">
      <c r="A72" s="5">
        <v>179</v>
      </c>
      <c r="B72" s="12">
        <v>45369</v>
      </c>
      <c r="C72" s="5">
        <v>243994</v>
      </c>
      <c r="D72" s="5" t="s">
        <v>87</v>
      </c>
      <c r="E72" s="5">
        <v>35</v>
      </c>
      <c r="F72" s="28" t="s">
        <v>209</v>
      </c>
      <c r="G72" t="str">
        <f>VLOOKUP(D72,Proizvodi!$A$1:$F$15,2,FALSE)</f>
        <v>Nameštaj za dnevnu sobu</v>
      </c>
      <c r="H72" t="str">
        <f>VLOOKUP(D72,Proizvodi!$A$1:$F$15,3,FALSE)</f>
        <v>Ormarić za TV</v>
      </c>
      <c r="I72" t="s">
        <v>455</v>
      </c>
      <c r="J72" t="str">
        <f>VLOOKUP(A72,Klijenti!$A$1:$F$11,2,FALSE)</f>
        <v>Elegantni Enterijeri</v>
      </c>
      <c r="K72" t="str">
        <f>VLOOKUP(A72,Klijenti!$A$1:$F$11,3,FALSE)</f>
        <v>Južni i Šumadijski region</v>
      </c>
    </row>
    <row r="73" spans="1:11">
      <c r="A73" s="5">
        <v>108</v>
      </c>
      <c r="B73" s="12">
        <v>45313</v>
      </c>
      <c r="C73" s="5">
        <v>466126</v>
      </c>
      <c r="D73" s="5" t="s">
        <v>98</v>
      </c>
      <c r="E73" s="5">
        <v>7</v>
      </c>
      <c r="F73" s="28" t="s">
        <v>210</v>
      </c>
      <c r="G73" t="str">
        <f>VLOOKUP(D73,Proizvodi!$A$1:$F$15,2,FALSE)</f>
        <v>Nameštaj za dnevnu sobu</v>
      </c>
      <c r="H73" t="str">
        <f>VLOOKUP(D73,Proizvodi!$A$1:$F$15,3,FALSE)</f>
        <v>Sofa</v>
      </c>
      <c r="I73" t="s">
        <v>452</v>
      </c>
      <c r="J73" t="str">
        <f>VLOOKUP(A73,Klijenti!$A$1:$F$11,2,FALSE)</f>
        <v>Dom &amp; Dekor</v>
      </c>
      <c r="K73" t="str">
        <f>VLOOKUP(A73,Klijenti!$A$1:$F$11,3,FALSE)</f>
        <v>Beogradski region</v>
      </c>
    </row>
    <row r="74" spans="1:11">
      <c r="A74" s="5">
        <v>157</v>
      </c>
      <c r="B74" s="12">
        <v>45293</v>
      </c>
      <c r="C74" s="5">
        <v>688897</v>
      </c>
      <c r="D74" s="5" t="s">
        <v>105</v>
      </c>
      <c r="E74" s="5">
        <v>29</v>
      </c>
      <c r="F74" s="28" t="s">
        <v>211</v>
      </c>
      <c r="G74" t="str">
        <f>VLOOKUP(D74,Proizvodi!$A$1:$F$15,2,FALSE)</f>
        <v>Trpezarija</v>
      </c>
      <c r="H74" t="str">
        <f>VLOOKUP(D74,Proizvodi!$A$1:$F$15,3,FALSE)</f>
        <v>Trpezarijski sto</v>
      </c>
      <c r="I74" t="s">
        <v>454</v>
      </c>
      <c r="J74" t="str">
        <f>VLOOKUP(A74,Klijenti!$A$1:$F$11,2,FALSE)</f>
        <v>Stilski Stan</v>
      </c>
      <c r="K74" t="str">
        <f>VLOOKUP(A74,Klijenti!$A$1:$F$11,3,FALSE)</f>
        <v>Vojvodina i Beograd</v>
      </c>
    </row>
    <row r="75" spans="1:11">
      <c r="A75" s="5">
        <v>151</v>
      </c>
      <c r="B75" s="12">
        <v>45324</v>
      </c>
      <c r="C75" s="5">
        <v>443480</v>
      </c>
      <c r="D75" s="5" t="s">
        <v>79</v>
      </c>
      <c r="E75" s="5">
        <v>46</v>
      </c>
      <c r="F75" s="28" t="s">
        <v>212</v>
      </c>
      <c r="G75" t="str">
        <f>VLOOKUP(D75,Proizvodi!$A$1:$F$15,2,FALSE)</f>
        <v>Kuhinja</v>
      </c>
      <c r="H75" t="str">
        <f>VLOOKUP(D75,Proizvodi!$A$1:$F$15,3,FALSE)</f>
        <v>Kuhinjsko ostrvo</v>
      </c>
      <c r="I75" t="s">
        <v>453</v>
      </c>
      <c r="J75" t="str">
        <f>VLOOKUP(A75,Klijenti!$A$1:$F$11,2,FALSE)</f>
        <v>Estetski Kutak</v>
      </c>
      <c r="K75" t="str">
        <f>VLOOKUP(A75,Klijenti!$A$1:$F$11,3,FALSE)</f>
        <v>Srbija</v>
      </c>
    </row>
    <row r="76" spans="1:11">
      <c r="A76" s="5">
        <v>157</v>
      </c>
      <c r="B76" s="12">
        <v>45306</v>
      </c>
      <c r="C76" s="5">
        <v>688897</v>
      </c>
      <c r="D76" s="5" t="s">
        <v>100</v>
      </c>
      <c r="E76" s="5">
        <v>28</v>
      </c>
      <c r="F76" s="28" t="s">
        <v>213</v>
      </c>
      <c r="G76" t="str">
        <f>VLOOKUP(D76,Proizvodi!$A$1:$F$15,2,FALSE)</f>
        <v>Trpezarija</v>
      </c>
      <c r="H76" t="str">
        <f>VLOOKUP(D76,Proizvodi!$A$1:$F$15,3,FALSE)</f>
        <v>Stolica za ručavanje</v>
      </c>
      <c r="I76" t="s">
        <v>454</v>
      </c>
      <c r="J76" t="str">
        <f>VLOOKUP(A76,Klijenti!$A$1:$F$11,2,FALSE)</f>
        <v>Stilski Stan</v>
      </c>
      <c r="K76" t="str">
        <f>VLOOKUP(A76,Klijenti!$A$1:$F$11,3,FALSE)</f>
        <v>Vojvodina i Beograd</v>
      </c>
    </row>
    <row r="77" spans="1:11">
      <c r="A77" s="5">
        <v>186</v>
      </c>
      <c r="B77" s="12">
        <v>45316</v>
      </c>
      <c r="C77" s="5">
        <v>243994</v>
      </c>
      <c r="D77" s="5" t="s">
        <v>84</v>
      </c>
      <c r="E77" s="5">
        <v>35</v>
      </c>
      <c r="F77" s="28" t="s">
        <v>214</v>
      </c>
      <c r="G77" t="str">
        <f>VLOOKUP(D77,Proizvodi!$A$1:$F$15,2,FALSE)</f>
        <v>Nameštaj za spavaću sobu</v>
      </c>
      <c r="H77" t="str">
        <f>VLOOKUP(D77,Proizvodi!$A$1:$F$15,3,FALSE)</f>
        <v>Noćni ormarić</v>
      </c>
      <c r="I77" t="s">
        <v>455</v>
      </c>
      <c r="J77" t="str">
        <f>VLOOKUP(A77,Klijenti!$A$1:$F$11,2,FALSE)</f>
        <v>Kuća- Uređenje i Dizajn</v>
      </c>
      <c r="K77" t="str">
        <f>VLOOKUP(A77,Klijenti!$A$1:$F$11,3,FALSE)</f>
        <v>Beogradski region</v>
      </c>
    </row>
    <row r="78" spans="1:11">
      <c r="A78" s="5">
        <v>186</v>
      </c>
      <c r="B78" s="12">
        <v>45373</v>
      </c>
      <c r="C78" s="5">
        <v>466126</v>
      </c>
      <c r="D78" s="5" t="s">
        <v>107</v>
      </c>
      <c r="E78" s="5">
        <v>31</v>
      </c>
      <c r="F78" s="28" t="s">
        <v>215</v>
      </c>
      <c r="G78" t="str">
        <f>VLOOKUP(D78,Proizvodi!$A$1:$F$15,2,FALSE)</f>
        <v>Kuhinja</v>
      </c>
      <c r="H78" t="str">
        <f>VLOOKUP(D78,Proizvodi!$A$1:$F$15,3,FALSE)</f>
        <v>Viseća polica</v>
      </c>
      <c r="I78" t="s">
        <v>452</v>
      </c>
      <c r="J78" t="str">
        <f>VLOOKUP(A78,Klijenti!$A$1:$F$11,2,FALSE)</f>
        <v>Kuća- Uređenje i Dizajn</v>
      </c>
      <c r="K78" t="str">
        <f>VLOOKUP(A78,Klijenti!$A$1:$F$11,3,FALSE)</f>
        <v>Beogradski region</v>
      </c>
    </row>
    <row r="79" spans="1:11">
      <c r="A79" s="5">
        <v>152</v>
      </c>
      <c r="B79" s="12">
        <v>45375</v>
      </c>
      <c r="C79" s="5">
        <v>171444</v>
      </c>
      <c r="D79" s="5" t="s">
        <v>91</v>
      </c>
      <c r="E79" s="5">
        <v>24</v>
      </c>
      <c r="F79" s="28" t="s">
        <v>216</v>
      </c>
      <c r="G79" t="str">
        <f>VLOOKUP(D79,Proizvodi!$A$1:$F$15,2,FALSE)</f>
        <v>Nameštaj za dnevnu sobu</v>
      </c>
      <c r="H79" t="str">
        <f>VLOOKUP(D79,Proizvodi!$A$1:$F$15,3,FALSE)</f>
        <v>Polica za knjige</v>
      </c>
      <c r="I79" t="s">
        <v>456</v>
      </c>
      <c r="J79" t="str">
        <f>VLOOKUP(A79,Klijenti!$A$1:$F$11,2,FALSE)</f>
        <v>Prostor za Uživanje</v>
      </c>
      <c r="K79" t="str">
        <f>VLOOKUP(A79,Klijenti!$A$1:$F$11,3,FALSE)</f>
        <v>Srbija</v>
      </c>
    </row>
    <row r="80" spans="1:11">
      <c r="A80" s="5">
        <v>195</v>
      </c>
      <c r="B80" s="12">
        <v>45292</v>
      </c>
      <c r="C80" s="5">
        <v>466126</v>
      </c>
      <c r="D80" s="5" t="s">
        <v>79</v>
      </c>
      <c r="E80" s="5">
        <v>45</v>
      </c>
      <c r="F80" s="28" t="s">
        <v>217</v>
      </c>
      <c r="G80" t="str">
        <f>VLOOKUP(D80,Proizvodi!$A$1:$F$15,2,FALSE)</f>
        <v>Kuhinja</v>
      </c>
      <c r="H80" t="str">
        <f>VLOOKUP(D80,Proizvodi!$A$1:$F$15,3,FALSE)</f>
        <v>Kuhinjsko ostrvo</v>
      </c>
      <c r="I80" t="s">
        <v>452</v>
      </c>
      <c r="J80" t="str">
        <f>VLOOKUP(A80,Klijenti!$A$1:$F$11,2,FALSE)</f>
        <v>Moderni Dom</v>
      </c>
      <c r="K80" t="str">
        <f>VLOOKUP(A80,Klijenti!$A$1:$F$11,3,FALSE)</f>
        <v>Srbija</v>
      </c>
    </row>
    <row r="81" spans="1:11">
      <c r="A81" s="5">
        <v>195</v>
      </c>
      <c r="B81" s="12">
        <v>45330</v>
      </c>
      <c r="C81" s="5">
        <v>466126</v>
      </c>
      <c r="D81" s="5" t="s">
        <v>79</v>
      </c>
      <c r="E81" s="5">
        <v>46</v>
      </c>
      <c r="F81" s="28" t="s">
        <v>218</v>
      </c>
      <c r="G81" t="str">
        <f>VLOOKUP(D81,Proizvodi!$A$1:$F$15,2,FALSE)</f>
        <v>Kuhinja</v>
      </c>
      <c r="H81" t="str">
        <f>VLOOKUP(D81,Proizvodi!$A$1:$F$15,3,FALSE)</f>
        <v>Kuhinjsko ostrvo</v>
      </c>
      <c r="I81" t="s">
        <v>452</v>
      </c>
      <c r="J81" t="str">
        <f>VLOOKUP(A81,Klijenti!$A$1:$F$11,2,FALSE)</f>
        <v>Moderni Dom</v>
      </c>
      <c r="K81" t="str">
        <f>VLOOKUP(A81,Klijenti!$A$1:$F$11,3,FALSE)</f>
        <v>Srbija</v>
      </c>
    </row>
    <row r="82" spans="1:11">
      <c r="A82" s="5">
        <v>186</v>
      </c>
      <c r="B82" s="12">
        <v>45332</v>
      </c>
      <c r="C82" s="5">
        <v>243994</v>
      </c>
      <c r="D82" s="5" t="s">
        <v>82</v>
      </c>
      <c r="E82" s="5">
        <v>12</v>
      </c>
      <c r="F82" s="28" t="s">
        <v>219</v>
      </c>
      <c r="G82" t="str">
        <f>VLOOKUP(D82,Proizvodi!$A$1:$F$15,2,FALSE)</f>
        <v>Nameštaj za dnevnu sobu</v>
      </c>
      <c r="H82" t="str">
        <f>VLOOKUP(D82,Proizvodi!$A$1:$F$15,3,FALSE)</f>
        <v>Klub sto</v>
      </c>
      <c r="I82" t="s">
        <v>455</v>
      </c>
      <c r="J82" t="str">
        <f>VLOOKUP(A82,Klijenti!$A$1:$F$11,2,FALSE)</f>
        <v>Kuća- Uređenje i Dizajn</v>
      </c>
      <c r="K82" t="str">
        <f>VLOOKUP(A82,Klijenti!$A$1:$F$11,3,FALSE)</f>
        <v>Beogradski region</v>
      </c>
    </row>
    <row r="83" spans="1:11">
      <c r="A83" s="5">
        <v>108</v>
      </c>
      <c r="B83" s="12">
        <v>45342</v>
      </c>
      <c r="C83" s="5">
        <v>466126</v>
      </c>
      <c r="D83" s="5" t="s">
        <v>93</v>
      </c>
      <c r="E83" s="5">
        <v>9</v>
      </c>
      <c r="F83" s="28" t="s">
        <v>220</v>
      </c>
      <c r="G83" t="str">
        <f>VLOOKUP(D83,Proizvodi!$A$1:$F$15,2,FALSE)</f>
        <v>Nameštaj za dnevnu sobu</v>
      </c>
      <c r="H83" t="str">
        <f>VLOOKUP(D83,Proizvodi!$A$1:$F$15,3,FALSE)</f>
        <v>Rasklopiva fotelja</v>
      </c>
      <c r="I83" t="s">
        <v>452</v>
      </c>
      <c r="J83" t="str">
        <f>VLOOKUP(A83,Klijenti!$A$1:$F$11,2,FALSE)</f>
        <v>Dom &amp; Dekor</v>
      </c>
      <c r="K83" t="str">
        <f>VLOOKUP(A83,Klijenti!$A$1:$F$11,3,FALSE)</f>
        <v>Beogradski region</v>
      </c>
    </row>
    <row r="84" spans="1:11">
      <c r="A84" s="5">
        <v>157</v>
      </c>
      <c r="B84" s="12">
        <v>45329</v>
      </c>
      <c r="C84" s="5">
        <v>688897</v>
      </c>
      <c r="D84" s="5" t="s">
        <v>79</v>
      </c>
      <c r="E84" s="5">
        <v>39</v>
      </c>
      <c r="F84" s="28" t="s">
        <v>221</v>
      </c>
      <c r="G84" t="str">
        <f>VLOOKUP(D84,Proizvodi!$A$1:$F$15,2,FALSE)</f>
        <v>Kuhinja</v>
      </c>
      <c r="H84" t="str">
        <f>VLOOKUP(D84,Proizvodi!$A$1:$F$15,3,FALSE)</f>
        <v>Kuhinjsko ostrvo</v>
      </c>
      <c r="I84" t="s">
        <v>454</v>
      </c>
      <c r="J84" t="str">
        <f>VLOOKUP(A84,Klijenti!$A$1:$F$11,2,FALSE)</f>
        <v>Stilski Stan</v>
      </c>
      <c r="K84" t="str">
        <f>VLOOKUP(A84,Klijenti!$A$1:$F$11,3,FALSE)</f>
        <v>Vojvodina i Beograd</v>
      </c>
    </row>
    <row r="85" spans="1:11">
      <c r="A85" s="5">
        <v>151</v>
      </c>
      <c r="B85" s="12">
        <v>45356</v>
      </c>
      <c r="C85" s="5">
        <v>443480</v>
      </c>
      <c r="D85" s="5" t="s">
        <v>76</v>
      </c>
      <c r="E85" s="5">
        <v>47</v>
      </c>
      <c r="F85" s="28" t="s">
        <v>222</v>
      </c>
      <c r="G85" t="str">
        <f>VLOOKUP(D85,Proizvodi!$A$1:$F$15,2,FALSE)</f>
        <v>Nameštaj za dnevnu sobu</v>
      </c>
      <c r="H85" t="str">
        <f>VLOOKUP(D85,Proizvodi!$A$1:$F$15,3,FALSE)</f>
        <v>Komoda</v>
      </c>
      <c r="I85" t="s">
        <v>453</v>
      </c>
      <c r="J85" t="str">
        <f>VLOOKUP(A85,Klijenti!$A$1:$F$11,2,FALSE)</f>
        <v>Estetski Kutak</v>
      </c>
      <c r="K85" t="str">
        <f>VLOOKUP(A85,Klijenti!$A$1:$F$11,3,FALSE)</f>
        <v>Srbija</v>
      </c>
    </row>
    <row r="86" spans="1:11">
      <c r="A86" s="5">
        <v>186</v>
      </c>
      <c r="B86" s="12">
        <v>45313</v>
      </c>
      <c r="C86" s="5">
        <v>243994</v>
      </c>
      <c r="D86" s="5" t="s">
        <v>98</v>
      </c>
      <c r="E86" s="5">
        <v>28</v>
      </c>
      <c r="F86" s="28" t="s">
        <v>223</v>
      </c>
      <c r="G86" t="str">
        <f>VLOOKUP(D86,Proizvodi!$A$1:$F$15,2,FALSE)</f>
        <v>Nameštaj za dnevnu sobu</v>
      </c>
      <c r="H86" t="str">
        <f>VLOOKUP(D86,Proizvodi!$A$1:$F$15,3,FALSE)</f>
        <v>Sofa</v>
      </c>
      <c r="I86" t="s">
        <v>455</v>
      </c>
      <c r="J86" t="str">
        <f>VLOOKUP(A86,Klijenti!$A$1:$F$11,2,FALSE)</f>
        <v>Kuća- Uređenje i Dizajn</v>
      </c>
      <c r="K86" t="str">
        <f>VLOOKUP(A86,Klijenti!$A$1:$F$11,3,FALSE)</f>
        <v>Beogradski region</v>
      </c>
    </row>
    <row r="87" spans="1:11">
      <c r="A87" s="5">
        <v>151</v>
      </c>
      <c r="B87" s="12">
        <v>45294</v>
      </c>
      <c r="C87" s="5">
        <v>443480</v>
      </c>
      <c r="D87" s="5" t="s">
        <v>105</v>
      </c>
      <c r="E87" s="5">
        <v>9</v>
      </c>
      <c r="F87" s="28" t="s">
        <v>224</v>
      </c>
      <c r="G87" t="str">
        <f>VLOOKUP(D87,Proizvodi!$A$1:$F$15,2,FALSE)</f>
        <v>Trpezarija</v>
      </c>
      <c r="H87" t="str">
        <f>VLOOKUP(D87,Proizvodi!$A$1:$F$15,3,FALSE)</f>
        <v>Trpezarijski sto</v>
      </c>
      <c r="I87" t="s">
        <v>453</v>
      </c>
      <c r="J87" t="str">
        <f>VLOOKUP(A87,Klijenti!$A$1:$F$11,2,FALSE)</f>
        <v>Estetski Kutak</v>
      </c>
      <c r="K87" t="str">
        <f>VLOOKUP(A87,Klijenti!$A$1:$F$11,3,FALSE)</f>
        <v>Srbija</v>
      </c>
    </row>
    <row r="88" spans="1:11">
      <c r="A88" s="5">
        <v>127</v>
      </c>
      <c r="B88" s="12">
        <v>45379</v>
      </c>
      <c r="C88" s="5">
        <v>466126</v>
      </c>
      <c r="D88" s="5" t="s">
        <v>84</v>
      </c>
      <c r="E88" s="5">
        <v>22</v>
      </c>
      <c r="F88" s="28" t="s">
        <v>225</v>
      </c>
      <c r="G88" t="str">
        <f>VLOOKUP(D88,Proizvodi!$A$1:$F$15,2,FALSE)</f>
        <v>Nameštaj za spavaću sobu</v>
      </c>
      <c r="H88" t="str">
        <f>VLOOKUP(D88,Proizvodi!$A$1:$F$15,3,FALSE)</f>
        <v>Noćni ormarić</v>
      </c>
      <c r="I88" t="s">
        <v>452</v>
      </c>
      <c r="J88" t="str">
        <f>VLOOKUP(A88,Klijenti!$A$1:$F$11,2,FALSE)</f>
        <v>Luksuzni Dizajn</v>
      </c>
      <c r="K88" t="str">
        <f>VLOOKUP(A88,Klijenti!$A$1:$F$11,3,FALSE)</f>
        <v>Vojvodina</v>
      </c>
    </row>
    <row r="89" spans="1:11">
      <c r="A89" s="5">
        <v>179</v>
      </c>
      <c r="B89" s="12">
        <v>45295</v>
      </c>
      <c r="C89" s="5">
        <v>243994</v>
      </c>
      <c r="D89" s="5" t="s">
        <v>105</v>
      </c>
      <c r="E89" s="5">
        <v>14</v>
      </c>
      <c r="F89" s="28" t="s">
        <v>226</v>
      </c>
      <c r="G89" t="str">
        <f>VLOOKUP(D89,Proizvodi!$A$1:$F$15,2,FALSE)</f>
        <v>Trpezarija</v>
      </c>
      <c r="H89" t="str">
        <f>VLOOKUP(D89,Proizvodi!$A$1:$F$15,3,FALSE)</f>
        <v>Trpezarijski sto</v>
      </c>
      <c r="I89" t="s">
        <v>455</v>
      </c>
      <c r="J89" t="str">
        <f>VLOOKUP(A89,Klijenti!$A$1:$F$11,2,FALSE)</f>
        <v>Elegantni Enterijeri</v>
      </c>
      <c r="K89" t="str">
        <f>VLOOKUP(A89,Klijenti!$A$1:$F$11,3,FALSE)</f>
        <v>Južni i Šumadijski region</v>
      </c>
    </row>
    <row r="90" spans="1:11">
      <c r="A90" s="5">
        <v>163</v>
      </c>
      <c r="B90" s="12">
        <v>45306</v>
      </c>
      <c r="C90" s="5">
        <v>443480</v>
      </c>
      <c r="D90" s="5" t="s">
        <v>98</v>
      </c>
      <c r="E90" s="5">
        <v>47</v>
      </c>
      <c r="F90" s="28" t="s">
        <v>227</v>
      </c>
      <c r="G90" t="str">
        <f>VLOOKUP(D90,Proizvodi!$A$1:$F$15,2,FALSE)</f>
        <v>Nameštaj za dnevnu sobu</v>
      </c>
      <c r="H90" t="str">
        <f>VLOOKUP(D90,Proizvodi!$A$1:$F$15,3,FALSE)</f>
        <v>Sofa</v>
      </c>
      <c r="I90" t="s">
        <v>453</v>
      </c>
      <c r="J90" t="str">
        <f>VLOOKUP(A90,Klijenti!$A$1:$F$11,2,FALSE)</f>
        <v>Sofistikacija Doma</v>
      </c>
      <c r="K90" t="str">
        <f>VLOOKUP(A90,Klijenti!$A$1:$F$11,3,FALSE)</f>
        <v>Šumadija</v>
      </c>
    </row>
    <row r="91" spans="1:11">
      <c r="A91" s="5">
        <v>153</v>
      </c>
      <c r="B91" s="12">
        <v>45365</v>
      </c>
      <c r="C91" s="5">
        <v>688897</v>
      </c>
      <c r="D91" s="5" t="s">
        <v>93</v>
      </c>
      <c r="E91" s="5">
        <v>49</v>
      </c>
      <c r="F91" s="28" t="s">
        <v>228</v>
      </c>
      <c r="G91" t="str">
        <f>VLOOKUP(D91,Proizvodi!$A$1:$F$15,2,FALSE)</f>
        <v>Nameštaj za dnevnu sobu</v>
      </c>
      <c r="H91" t="str">
        <f>VLOOKUP(D91,Proizvodi!$A$1:$F$15,3,FALSE)</f>
        <v>Rasklopiva fotelja</v>
      </c>
      <c r="I91" t="s">
        <v>454</v>
      </c>
      <c r="J91" t="str">
        <f>VLOOKUP(A91,Klijenti!$A$1:$F$11,2,FALSE)</f>
        <v>Udobni Kutak</v>
      </c>
      <c r="K91" t="str">
        <f>VLOOKUP(A91,Klijenti!$A$1:$F$11,3,FALSE)</f>
        <v>Južni region</v>
      </c>
    </row>
    <row r="92" spans="1:11">
      <c r="A92" s="5">
        <v>186</v>
      </c>
      <c r="B92" s="12">
        <v>45342</v>
      </c>
      <c r="C92" s="5">
        <v>243994</v>
      </c>
      <c r="D92" s="5" t="s">
        <v>89</v>
      </c>
      <c r="E92" s="5">
        <v>39</v>
      </c>
      <c r="F92" s="28" t="s">
        <v>229</v>
      </c>
      <c r="G92" t="str">
        <f>VLOOKUP(D92,Proizvodi!$A$1:$F$15,2,FALSE)</f>
        <v>Nameštaj za dnevnu sobu</v>
      </c>
      <c r="H92" t="str">
        <f>VLOOKUP(D92,Proizvodi!$A$1:$F$15,3,FALSE)</f>
        <v>Ogledalo za zid</v>
      </c>
      <c r="I92" t="s">
        <v>455</v>
      </c>
      <c r="J92" t="str">
        <f>VLOOKUP(A92,Klijenti!$A$1:$F$11,2,FALSE)</f>
        <v>Kuća- Uređenje i Dizajn</v>
      </c>
      <c r="K92" t="str">
        <f>VLOOKUP(A92,Klijenti!$A$1:$F$11,3,FALSE)</f>
        <v>Beogradski region</v>
      </c>
    </row>
    <row r="93" spans="1:11">
      <c r="A93" s="5">
        <v>108</v>
      </c>
      <c r="B93" s="12">
        <v>45332</v>
      </c>
      <c r="C93" s="5">
        <v>466126</v>
      </c>
      <c r="D93" s="5" t="s">
        <v>82</v>
      </c>
      <c r="E93" s="5">
        <v>41</v>
      </c>
      <c r="F93" s="28" t="s">
        <v>230</v>
      </c>
      <c r="G93" t="str">
        <f>VLOOKUP(D93,Proizvodi!$A$1:$F$15,2,FALSE)</f>
        <v>Nameštaj za dnevnu sobu</v>
      </c>
      <c r="H93" t="str">
        <f>VLOOKUP(D93,Proizvodi!$A$1:$F$15,3,FALSE)</f>
        <v>Klub sto</v>
      </c>
      <c r="I93" t="s">
        <v>452</v>
      </c>
      <c r="J93" t="str">
        <f>VLOOKUP(A93,Klijenti!$A$1:$F$11,2,FALSE)</f>
        <v>Dom &amp; Dekor</v>
      </c>
      <c r="K93" t="str">
        <f>VLOOKUP(A93,Klijenti!$A$1:$F$11,3,FALSE)</f>
        <v>Beogradski region</v>
      </c>
    </row>
    <row r="94" spans="1:11">
      <c r="A94" s="5">
        <v>186</v>
      </c>
      <c r="B94" s="12">
        <v>45324</v>
      </c>
      <c r="C94" s="5">
        <v>243994</v>
      </c>
      <c r="D94" s="5" t="s">
        <v>93</v>
      </c>
      <c r="E94" s="5">
        <v>50</v>
      </c>
      <c r="F94" s="28" t="s">
        <v>231</v>
      </c>
      <c r="G94" t="str">
        <f>VLOOKUP(D94,Proizvodi!$A$1:$F$15,2,FALSE)</f>
        <v>Nameštaj za dnevnu sobu</v>
      </c>
      <c r="H94" t="str">
        <f>VLOOKUP(D94,Proizvodi!$A$1:$F$15,3,FALSE)</f>
        <v>Rasklopiva fotelja</v>
      </c>
      <c r="I94" t="s">
        <v>455</v>
      </c>
      <c r="J94" t="str">
        <f>VLOOKUP(A94,Klijenti!$A$1:$F$11,2,FALSE)</f>
        <v>Kuća- Uređenje i Dizajn</v>
      </c>
      <c r="K94" t="str">
        <f>VLOOKUP(A94,Klijenti!$A$1:$F$11,3,FALSE)</f>
        <v>Beogradski region</v>
      </c>
    </row>
    <row r="95" spans="1:11">
      <c r="A95" s="5">
        <v>179</v>
      </c>
      <c r="B95" s="12">
        <v>45311</v>
      </c>
      <c r="C95" s="5">
        <v>243994</v>
      </c>
      <c r="D95" s="5" t="s">
        <v>87</v>
      </c>
      <c r="E95" s="5">
        <v>33</v>
      </c>
      <c r="F95" s="28" t="s">
        <v>232</v>
      </c>
      <c r="G95" t="str">
        <f>VLOOKUP(D95,Proizvodi!$A$1:$F$15,2,FALSE)</f>
        <v>Nameštaj za dnevnu sobu</v>
      </c>
      <c r="H95" t="str">
        <f>VLOOKUP(D95,Proizvodi!$A$1:$F$15,3,FALSE)</f>
        <v>Ormarić za TV</v>
      </c>
      <c r="I95" t="s">
        <v>455</v>
      </c>
      <c r="J95" t="str">
        <f>VLOOKUP(A95,Klijenti!$A$1:$F$11,2,FALSE)</f>
        <v>Elegantni Enterijeri</v>
      </c>
      <c r="K95" t="str">
        <f>VLOOKUP(A95,Klijenti!$A$1:$F$11,3,FALSE)</f>
        <v>Južni i Šumadijski region</v>
      </c>
    </row>
    <row r="96" spans="1:11">
      <c r="A96" s="5">
        <v>186</v>
      </c>
      <c r="B96" s="12">
        <v>45346</v>
      </c>
      <c r="C96" s="5">
        <v>243994</v>
      </c>
      <c r="D96" s="5" t="s">
        <v>107</v>
      </c>
      <c r="E96" s="5">
        <v>46</v>
      </c>
      <c r="F96" s="28" t="s">
        <v>233</v>
      </c>
      <c r="G96" t="str">
        <f>VLOOKUP(D96,Proizvodi!$A$1:$F$15,2,FALSE)</f>
        <v>Kuhinja</v>
      </c>
      <c r="H96" t="str">
        <f>VLOOKUP(D96,Proizvodi!$A$1:$F$15,3,FALSE)</f>
        <v>Viseća polica</v>
      </c>
      <c r="I96" t="s">
        <v>455</v>
      </c>
      <c r="J96" t="str">
        <f>VLOOKUP(A96,Klijenti!$A$1:$F$11,2,FALSE)</f>
        <v>Kuća- Uređenje i Dizajn</v>
      </c>
      <c r="K96" t="str">
        <f>VLOOKUP(A96,Klijenti!$A$1:$F$11,3,FALSE)</f>
        <v>Beogradski region</v>
      </c>
    </row>
    <row r="97" spans="1:11">
      <c r="A97" s="5">
        <v>152</v>
      </c>
      <c r="B97" s="12">
        <v>45326</v>
      </c>
      <c r="C97" s="5">
        <v>171444</v>
      </c>
      <c r="D97" s="5" t="s">
        <v>87</v>
      </c>
      <c r="E97" s="5">
        <v>24</v>
      </c>
      <c r="F97" s="28" t="s">
        <v>234</v>
      </c>
      <c r="G97" t="str">
        <f>VLOOKUP(D97,Proizvodi!$A$1:$F$15,2,FALSE)</f>
        <v>Nameštaj za dnevnu sobu</v>
      </c>
      <c r="H97" t="str">
        <f>VLOOKUP(D97,Proizvodi!$A$1:$F$15,3,FALSE)</f>
        <v>Ormarić za TV</v>
      </c>
      <c r="I97" t="s">
        <v>456</v>
      </c>
      <c r="J97" t="str">
        <f>VLOOKUP(A97,Klijenti!$A$1:$F$11,2,FALSE)</f>
        <v>Prostor za Uživanje</v>
      </c>
      <c r="K97" t="str">
        <f>VLOOKUP(A97,Klijenti!$A$1:$F$11,3,FALSE)</f>
        <v>Srbija</v>
      </c>
    </row>
    <row r="98" spans="1:11">
      <c r="A98" s="5">
        <v>195</v>
      </c>
      <c r="B98" s="12">
        <v>45298</v>
      </c>
      <c r="C98" s="5">
        <v>466126</v>
      </c>
      <c r="D98" s="5" t="s">
        <v>100</v>
      </c>
      <c r="E98" s="5">
        <v>17</v>
      </c>
      <c r="F98" s="28" t="s">
        <v>235</v>
      </c>
      <c r="G98" t="str">
        <f>VLOOKUP(D98,Proizvodi!$A$1:$F$15,2,FALSE)</f>
        <v>Trpezarija</v>
      </c>
      <c r="H98" t="str">
        <f>VLOOKUP(D98,Proizvodi!$A$1:$F$15,3,FALSE)</f>
        <v>Stolica za ručavanje</v>
      </c>
      <c r="I98" t="s">
        <v>452</v>
      </c>
      <c r="J98" t="str">
        <f>VLOOKUP(A98,Klijenti!$A$1:$F$11,2,FALSE)</f>
        <v>Moderni Dom</v>
      </c>
      <c r="K98" t="str">
        <f>VLOOKUP(A98,Klijenti!$A$1:$F$11,3,FALSE)</f>
        <v>Srbija</v>
      </c>
    </row>
    <row r="99" spans="1:11">
      <c r="A99" s="5">
        <v>157</v>
      </c>
      <c r="B99" s="12">
        <v>45323</v>
      </c>
      <c r="C99" s="5">
        <v>688897</v>
      </c>
      <c r="D99" s="5" t="s">
        <v>87</v>
      </c>
      <c r="E99" s="5">
        <v>30</v>
      </c>
      <c r="F99" s="28" t="s">
        <v>236</v>
      </c>
      <c r="G99" t="str">
        <f>VLOOKUP(D99,Proizvodi!$A$1:$F$15,2,FALSE)</f>
        <v>Nameštaj za dnevnu sobu</v>
      </c>
      <c r="H99" t="str">
        <f>VLOOKUP(D99,Proizvodi!$A$1:$F$15,3,FALSE)</f>
        <v>Ormarić za TV</v>
      </c>
      <c r="I99" t="s">
        <v>454</v>
      </c>
      <c r="J99" t="str">
        <f>VLOOKUP(A99,Klijenti!$A$1:$F$11,2,FALSE)</f>
        <v>Stilski Stan</v>
      </c>
      <c r="K99" t="str">
        <f>VLOOKUP(A99,Klijenti!$A$1:$F$11,3,FALSE)</f>
        <v>Vojvodina i Beograd</v>
      </c>
    </row>
    <row r="100" spans="1:11">
      <c r="A100" s="5">
        <v>151</v>
      </c>
      <c r="B100" s="12">
        <v>45299</v>
      </c>
      <c r="C100" s="5">
        <v>443480</v>
      </c>
      <c r="D100" s="5" t="s">
        <v>100</v>
      </c>
      <c r="E100" s="5">
        <v>23</v>
      </c>
      <c r="F100" s="28" t="s">
        <v>237</v>
      </c>
      <c r="G100" t="str">
        <f>VLOOKUP(D100,Proizvodi!$A$1:$F$15,2,FALSE)</f>
        <v>Trpezarija</v>
      </c>
      <c r="H100" t="str">
        <f>VLOOKUP(D100,Proizvodi!$A$1:$F$15,3,FALSE)</f>
        <v>Stolica za ručavanje</v>
      </c>
      <c r="I100" t="s">
        <v>453</v>
      </c>
      <c r="J100" t="str">
        <f>VLOOKUP(A100,Klijenti!$A$1:$F$11,2,FALSE)</f>
        <v>Estetski Kutak</v>
      </c>
      <c r="K100" t="str">
        <f>VLOOKUP(A100,Klijenti!$A$1:$F$11,3,FALSE)</f>
        <v>Srbija</v>
      </c>
    </row>
    <row r="101" spans="1:11">
      <c r="A101" s="5">
        <v>153</v>
      </c>
      <c r="B101" s="12">
        <v>45299</v>
      </c>
      <c r="C101" s="5">
        <v>688897</v>
      </c>
      <c r="D101" s="5" t="s">
        <v>98</v>
      </c>
      <c r="E101" s="5">
        <v>31</v>
      </c>
      <c r="F101" s="28" t="s">
        <v>238</v>
      </c>
      <c r="G101" t="str">
        <f>VLOOKUP(D101,Proizvodi!$A$1:$F$15,2,FALSE)</f>
        <v>Nameštaj za dnevnu sobu</v>
      </c>
      <c r="H101" t="str">
        <f>VLOOKUP(D101,Proizvodi!$A$1:$F$15,3,FALSE)</f>
        <v>Sofa</v>
      </c>
      <c r="I101" t="s">
        <v>454</v>
      </c>
      <c r="J101" t="str">
        <f>VLOOKUP(A101,Klijenti!$A$1:$F$11,2,FALSE)</f>
        <v>Udobni Kutak</v>
      </c>
      <c r="K101" t="str">
        <f>VLOOKUP(A101,Klijenti!$A$1:$F$11,3,FALSE)</f>
        <v>Južni region</v>
      </c>
    </row>
    <row r="102" spans="1:11">
      <c r="A102" s="5">
        <v>152</v>
      </c>
      <c r="B102" s="12">
        <v>45336</v>
      </c>
      <c r="C102" s="5">
        <v>171444</v>
      </c>
      <c r="D102" s="5" t="s">
        <v>105</v>
      </c>
      <c r="E102" s="5">
        <v>48</v>
      </c>
      <c r="F102" s="28" t="s">
        <v>239</v>
      </c>
      <c r="G102" t="str">
        <f>VLOOKUP(D102,Proizvodi!$A$1:$F$15,2,FALSE)</f>
        <v>Trpezarija</v>
      </c>
      <c r="H102" t="str">
        <f>VLOOKUP(D102,Proizvodi!$A$1:$F$15,3,FALSE)</f>
        <v>Trpezarijski sto</v>
      </c>
      <c r="I102" t="s">
        <v>456</v>
      </c>
      <c r="J102" t="str">
        <f>VLOOKUP(A102,Klijenti!$A$1:$F$11,2,FALSE)</f>
        <v>Prostor za Uživanje</v>
      </c>
      <c r="K102" t="str">
        <f>VLOOKUP(A102,Klijenti!$A$1:$F$11,3,FALSE)</f>
        <v>Srbija</v>
      </c>
    </row>
    <row r="103" spans="1:11">
      <c r="A103" s="5">
        <v>152</v>
      </c>
      <c r="B103" s="12">
        <v>45322</v>
      </c>
      <c r="C103" s="5">
        <v>171444</v>
      </c>
      <c r="D103" s="5" t="s">
        <v>87</v>
      </c>
      <c r="E103" s="5">
        <v>24</v>
      </c>
      <c r="F103" s="28" t="s">
        <v>240</v>
      </c>
      <c r="G103" t="str">
        <f>VLOOKUP(D103,Proizvodi!$A$1:$F$15,2,FALSE)</f>
        <v>Nameštaj za dnevnu sobu</v>
      </c>
      <c r="H103" t="str">
        <f>VLOOKUP(D103,Proizvodi!$A$1:$F$15,3,FALSE)</f>
        <v>Ormarić za TV</v>
      </c>
      <c r="I103" t="s">
        <v>456</v>
      </c>
      <c r="J103" t="str">
        <f>VLOOKUP(A103,Klijenti!$A$1:$F$11,2,FALSE)</f>
        <v>Prostor za Uživanje</v>
      </c>
      <c r="K103" t="str">
        <f>VLOOKUP(A103,Klijenti!$A$1:$F$11,3,FALSE)</f>
        <v>Srbija</v>
      </c>
    </row>
    <row r="104" spans="1:11">
      <c r="A104" s="5">
        <v>153</v>
      </c>
      <c r="B104" s="12">
        <v>45352</v>
      </c>
      <c r="C104" s="5">
        <v>688897</v>
      </c>
      <c r="D104" s="5" t="s">
        <v>84</v>
      </c>
      <c r="E104" s="5">
        <v>17</v>
      </c>
      <c r="F104" s="28" t="s">
        <v>241</v>
      </c>
      <c r="G104" t="str">
        <f>VLOOKUP(D104,Proizvodi!$A$1:$F$15,2,FALSE)</f>
        <v>Nameštaj za spavaću sobu</v>
      </c>
      <c r="H104" t="str">
        <f>VLOOKUP(D104,Proizvodi!$A$1:$F$15,3,FALSE)</f>
        <v>Noćni ormarić</v>
      </c>
      <c r="I104" t="s">
        <v>454</v>
      </c>
      <c r="J104" t="str">
        <f>VLOOKUP(A104,Klijenti!$A$1:$F$11,2,FALSE)</f>
        <v>Udobni Kutak</v>
      </c>
      <c r="K104" t="str">
        <f>VLOOKUP(A104,Klijenti!$A$1:$F$11,3,FALSE)</f>
        <v>Južni region</v>
      </c>
    </row>
    <row r="105" spans="1:11">
      <c r="A105" s="5">
        <v>152</v>
      </c>
      <c r="B105" s="12">
        <v>45324</v>
      </c>
      <c r="C105" s="5">
        <v>171444</v>
      </c>
      <c r="D105" s="5" t="s">
        <v>79</v>
      </c>
      <c r="E105" s="5">
        <v>2</v>
      </c>
      <c r="F105" s="28" t="s">
        <v>242</v>
      </c>
      <c r="G105" t="str">
        <f>VLOOKUP(D105,Proizvodi!$A$1:$F$15,2,FALSE)</f>
        <v>Kuhinja</v>
      </c>
      <c r="H105" t="str">
        <f>VLOOKUP(D105,Proizvodi!$A$1:$F$15,3,FALSE)</f>
        <v>Kuhinjsko ostrvo</v>
      </c>
      <c r="I105" t="s">
        <v>456</v>
      </c>
      <c r="J105" t="str">
        <f>VLOOKUP(A105,Klijenti!$A$1:$F$11,2,FALSE)</f>
        <v>Prostor za Uživanje</v>
      </c>
      <c r="K105" t="str">
        <f>VLOOKUP(A105,Klijenti!$A$1:$F$11,3,FALSE)</f>
        <v>Srbija</v>
      </c>
    </row>
    <row r="106" spans="1:11">
      <c r="A106" s="5">
        <v>127</v>
      </c>
      <c r="B106" s="12">
        <v>45359</v>
      </c>
      <c r="C106" s="5">
        <v>171444</v>
      </c>
      <c r="D106" s="5" t="s">
        <v>93</v>
      </c>
      <c r="E106" s="5">
        <v>24</v>
      </c>
      <c r="F106" s="28" t="s">
        <v>243</v>
      </c>
      <c r="G106" t="str">
        <f>VLOOKUP(D106,Proizvodi!$A$1:$F$15,2,FALSE)</f>
        <v>Nameštaj za dnevnu sobu</v>
      </c>
      <c r="H106" t="str">
        <f>VLOOKUP(D106,Proizvodi!$A$1:$F$15,3,FALSE)</f>
        <v>Rasklopiva fotelja</v>
      </c>
      <c r="I106" t="s">
        <v>456</v>
      </c>
      <c r="J106" t="str">
        <f>VLOOKUP(A106,Klijenti!$A$1:$F$11,2,FALSE)</f>
        <v>Luksuzni Dizajn</v>
      </c>
      <c r="K106" t="str">
        <f>VLOOKUP(A106,Klijenti!$A$1:$F$11,3,FALSE)</f>
        <v>Vojvodina</v>
      </c>
    </row>
    <row r="107" spans="1:11">
      <c r="A107" s="5">
        <v>127</v>
      </c>
      <c r="B107" s="12">
        <v>45367</v>
      </c>
      <c r="C107" s="5">
        <v>171444</v>
      </c>
      <c r="D107" s="5" t="s">
        <v>82</v>
      </c>
      <c r="E107" s="5">
        <v>22</v>
      </c>
      <c r="F107" s="28" t="s">
        <v>244</v>
      </c>
      <c r="G107" t="str">
        <f>VLOOKUP(D107,Proizvodi!$A$1:$F$15,2,FALSE)</f>
        <v>Nameštaj za dnevnu sobu</v>
      </c>
      <c r="H107" t="str">
        <f>VLOOKUP(D107,Proizvodi!$A$1:$F$15,3,FALSE)</f>
        <v>Klub sto</v>
      </c>
      <c r="I107" t="s">
        <v>456</v>
      </c>
      <c r="J107" t="str">
        <f>VLOOKUP(A107,Klijenti!$A$1:$F$11,2,FALSE)</f>
        <v>Luksuzni Dizajn</v>
      </c>
      <c r="K107" t="str">
        <f>VLOOKUP(A107,Klijenti!$A$1:$F$11,3,FALSE)</f>
        <v>Vojvodina</v>
      </c>
    </row>
    <row r="108" spans="1:11">
      <c r="A108" s="5">
        <v>186</v>
      </c>
      <c r="B108" s="12">
        <v>45361</v>
      </c>
      <c r="C108" s="5">
        <v>243994</v>
      </c>
      <c r="D108" s="5" t="s">
        <v>107</v>
      </c>
      <c r="E108" s="5">
        <v>20</v>
      </c>
      <c r="F108" s="28" t="s">
        <v>245</v>
      </c>
      <c r="G108" t="str">
        <f>VLOOKUP(D108,Proizvodi!$A$1:$F$15,2,FALSE)</f>
        <v>Kuhinja</v>
      </c>
      <c r="H108" t="str">
        <f>VLOOKUP(D108,Proizvodi!$A$1:$F$15,3,FALSE)</f>
        <v>Viseća polica</v>
      </c>
      <c r="I108" t="s">
        <v>455</v>
      </c>
      <c r="J108" t="str">
        <f>VLOOKUP(A108,Klijenti!$A$1:$F$11,2,FALSE)</f>
        <v>Kuća- Uređenje i Dizajn</v>
      </c>
      <c r="K108" t="str">
        <f>VLOOKUP(A108,Klijenti!$A$1:$F$11,3,FALSE)</f>
        <v>Beogradski region</v>
      </c>
    </row>
    <row r="109" spans="1:11">
      <c r="A109" s="5">
        <v>151</v>
      </c>
      <c r="B109" s="12">
        <v>45299</v>
      </c>
      <c r="C109" s="5">
        <v>443480</v>
      </c>
      <c r="D109" s="5" t="s">
        <v>105</v>
      </c>
      <c r="E109" s="5">
        <v>32</v>
      </c>
      <c r="F109" s="28" t="s">
        <v>246</v>
      </c>
      <c r="G109" t="str">
        <f>VLOOKUP(D109,Proizvodi!$A$1:$F$15,2,FALSE)</f>
        <v>Trpezarija</v>
      </c>
      <c r="H109" t="str">
        <f>VLOOKUP(D109,Proizvodi!$A$1:$F$15,3,FALSE)</f>
        <v>Trpezarijski sto</v>
      </c>
      <c r="I109" t="s">
        <v>453</v>
      </c>
      <c r="J109" t="str">
        <f>VLOOKUP(A109,Klijenti!$A$1:$F$11,2,FALSE)</f>
        <v>Estetski Kutak</v>
      </c>
      <c r="K109" t="str">
        <f>VLOOKUP(A109,Klijenti!$A$1:$F$11,3,FALSE)</f>
        <v>Srbija</v>
      </c>
    </row>
    <row r="110" spans="1:11">
      <c r="A110" s="5">
        <v>152</v>
      </c>
      <c r="B110" s="12">
        <v>45335</v>
      </c>
      <c r="C110" s="5">
        <v>171444</v>
      </c>
      <c r="D110" s="5" t="s">
        <v>79</v>
      </c>
      <c r="E110" s="5">
        <v>35</v>
      </c>
      <c r="F110" s="28" t="s">
        <v>247</v>
      </c>
      <c r="G110" t="str">
        <f>VLOOKUP(D110,Proizvodi!$A$1:$F$15,2,FALSE)</f>
        <v>Kuhinja</v>
      </c>
      <c r="H110" t="str">
        <f>VLOOKUP(D110,Proizvodi!$A$1:$F$15,3,FALSE)</f>
        <v>Kuhinjsko ostrvo</v>
      </c>
      <c r="I110" t="s">
        <v>456</v>
      </c>
      <c r="J110" t="str">
        <f>VLOOKUP(A110,Klijenti!$A$1:$F$11,2,FALSE)</f>
        <v>Prostor za Uživanje</v>
      </c>
      <c r="K110" t="str">
        <f>VLOOKUP(A110,Klijenti!$A$1:$F$11,3,FALSE)</f>
        <v>Srbija</v>
      </c>
    </row>
    <row r="111" spans="1:11">
      <c r="A111" s="5">
        <v>195</v>
      </c>
      <c r="B111" s="12">
        <v>45379</v>
      </c>
      <c r="C111" s="5">
        <v>466126</v>
      </c>
      <c r="D111" s="5" t="s">
        <v>105</v>
      </c>
      <c r="E111" s="5">
        <v>21</v>
      </c>
      <c r="F111" s="28" t="s">
        <v>248</v>
      </c>
      <c r="G111" t="str">
        <f>VLOOKUP(D111,Proizvodi!$A$1:$F$15,2,FALSE)</f>
        <v>Trpezarija</v>
      </c>
      <c r="H111" t="str">
        <f>VLOOKUP(D111,Proizvodi!$A$1:$F$15,3,FALSE)</f>
        <v>Trpezarijski sto</v>
      </c>
      <c r="I111" t="s">
        <v>452</v>
      </c>
      <c r="J111" t="str">
        <f>VLOOKUP(A111,Klijenti!$A$1:$F$11,2,FALSE)</f>
        <v>Moderni Dom</v>
      </c>
      <c r="K111" t="str">
        <f>VLOOKUP(A111,Klijenti!$A$1:$F$11,3,FALSE)</f>
        <v>Srbija</v>
      </c>
    </row>
    <row r="112" spans="1:11">
      <c r="A112" s="5">
        <v>151</v>
      </c>
      <c r="B112" s="12">
        <v>45367</v>
      </c>
      <c r="C112" s="5">
        <v>443480</v>
      </c>
      <c r="D112" s="5" t="s">
        <v>103</v>
      </c>
      <c r="E112" s="5">
        <v>8</v>
      </c>
      <c r="F112" s="28" t="s">
        <v>249</v>
      </c>
      <c r="G112" t="str">
        <f>VLOOKUP(D112,Proizvodi!$A$1:$F$15,2,FALSE)</f>
        <v>Nameštaj za dnevnu sobu</v>
      </c>
      <c r="H112" t="str">
        <f>VLOOKUP(D112,Proizvodi!$A$1:$F$15,3,FALSE)</f>
        <v>Tabure</v>
      </c>
      <c r="I112" t="s">
        <v>453</v>
      </c>
      <c r="J112" t="str">
        <f>VLOOKUP(A112,Klijenti!$A$1:$F$11,2,FALSE)</f>
        <v>Estetski Kutak</v>
      </c>
      <c r="K112" t="str">
        <f>VLOOKUP(A112,Klijenti!$A$1:$F$11,3,FALSE)</f>
        <v>Srbija</v>
      </c>
    </row>
    <row r="113" spans="1:11">
      <c r="A113" s="5">
        <v>153</v>
      </c>
      <c r="B113" s="12">
        <v>45332</v>
      </c>
      <c r="C113" s="5">
        <v>688897</v>
      </c>
      <c r="D113" s="5" t="s">
        <v>107</v>
      </c>
      <c r="E113" s="5">
        <v>49</v>
      </c>
      <c r="F113" s="28" t="s">
        <v>250</v>
      </c>
      <c r="G113" t="str">
        <f>VLOOKUP(D113,Proizvodi!$A$1:$F$15,2,FALSE)</f>
        <v>Kuhinja</v>
      </c>
      <c r="H113" t="str">
        <f>VLOOKUP(D113,Proizvodi!$A$1:$F$15,3,FALSE)</f>
        <v>Viseća polica</v>
      </c>
      <c r="I113" t="s">
        <v>454</v>
      </c>
      <c r="J113" t="str">
        <f>VLOOKUP(A113,Klijenti!$A$1:$F$11,2,FALSE)</f>
        <v>Udobni Kutak</v>
      </c>
      <c r="K113" t="str">
        <f>VLOOKUP(A113,Klijenti!$A$1:$F$11,3,FALSE)</f>
        <v>Južni region</v>
      </c>
    </row>
    <row r="114" spans="1:11">
      <c r="A114" s="5">
        <v>179</v>
      </c>
      <c r="B114" s="12">
        <v>45353</v>
      </c>
      <c r="C114" s="5">
        <v>243994</v>
      </c>
      <c r="D114" s="5" t="s">
        <v>100</v>
      </c>
      <c r="E114" s="5">
        <v>41</v>
      </c>
      <c r="F114" s="28" t="s">
        <v>251</v>
      </c>
      <c r="G114" t="str">
        <f>VLOOKUP(D114,Proizvodi!$A$1:$F$15,2,FALSE)</f>
        <v>Trpezarija</v>
      </c>
      <c r="H114" t="str">
        <f>VLOOKUP(D114,Proizvodi!$A$1:$F$15,3,FALSE)</f>
        <v>Stolica za ručavanje</v>
      </c>
      <c r="I114" t="s">
        <v>455</v>
      </c>
      <c r="J114" t="str">
        <f>VLOOKUP(A114,Klijenti!$A$1:$F$11,2,FALSE)</f>
        <v>Elegantni Enterijeri</v>
      </c>
      <c r="K114" t="str">
        <f>VLOOKUP(A114,Klijenti!$A$1:$F$11,3,FALSE)</f>
        <v>Južni i Šumadijski region</v>
      </c>
    </row>
    <row r="115" spans="1:11">
      <c r="A115" s="5">
        <v>127</v>
      </c>
      <c r="B115" s="12">
        <v>45330</v>
      </c>
      <c r="C115" s="5">
        <v>171444</v>
      </c>
      <c r="D115" s="5" t="s">
        <v>93</v>
      </c>
      <c r="E115" s="5">
        <v>46</v>
      </c>
      <c r="F115" s="28" t="s">
        <v>252</v>
      </c>
      <c r="G115" t="str">
        <f>VLOOKUP(D115,Proizvodi!$A$1:$F$15,2,FALSE)</f>
        <v>Nameštaj za dnevnu sobu</v>
      </c>
      <c r="H115" t="str">
        <f>VLOOKUP(D115,Proizvodi!$A$1:$F$15,3,FALSE)</f>
        <v>Rasklopiva fotelja</v>
      </c>
      <c r="I115" t="s">
        <v>456</v>
      </c>
      <c r="J115" t="str">
        <f>VLOOKUP(A115,Klijenti!$A$1:$F$11,2,FALSE)</f>
        <v>Luksuzni Dizajn</v>
      </c>
      <c r="K115" t="str">
        <f>VLOOKUP(A115,Klijenti!$A$1:$F$11,3,FALSE)</f>
        <v>Vojvodina</v>
      </c>
    </row>
    <row r="116" spans="1:11">
      <c r="A116" s="5">
        <v>108</v>
      </c>
      <c r="B116" s="12">
        <v>45354</v>
      </c>
      <c r="C116" s="5">
        <v>466126</v>
      </c>
      <c r="D116" s="5" t="s">
        <v>82</v>
      </c>
      <c r="E116" s="5">
        <v>49</v>
      </c>
      <c r="F116" s="28" t="s">
        <v>253</v>
      </c>
      <c r="G116" t="str">
        <f>VLOOKUP(D116,Proizvodi!$A$1:$F$15,2,FALSE)</f>
        <v>Nameštaj za dnevnu sobu</v>
      </c>
      <c r="H116" t="str">
        <f>VLOOKUP(D116,Proizvodi!$A$1:$F$15,3,FALSE)</f>
        <v>Klub sto</v>
      </c>
      <c r="I116" t="s">
        <v>452</v>
      </c>
      <c r="J116" t="str">
        <f>VLOOKUP(A116,Klijenti!$A$1:$F$11,2,FALSE)</f>
        <v>Dom &amp; Dekor</v>
      </c>
      <c r="K116" t="str">
        <f>VLOOKUP(A116,Klijenti!$A$1:$F$11,3,FALSE)</f>
        <v>Beogradski region</v>
      </c>
    </row>
    <row r="117" spans="1:11">
      <c r="A117" s="5">
        <v>152</v>
      </c>
      <c r="B117" s="12">
        <v>45300</v>
      </c>
      <c r="C117" s="5">
        <v>171444</v>
      </c>
      <c r="D117" s="5" t="s">
        <v>91</v>
      </c>
      <c r="E117" s="5">
        <v>22</v>
      </c>
      <c r="F117" s="28" t="s">
        <v>254</v>
      </c>
      <c r="G117" t="str">
        <f>VLOOKUP(D117,Proizvodi!$A$1:$F$15,2,FALSE)</f>
        <v>Nameštaj za dnevnu sobu</v>
      </c>
      <c r="H117" t="str">
        <f>VLOOKUP(D117,Proizvodi!$A$1:$F$15,3,FALSE)</f>
        <v>Polica za knjige</v>
      </c>
      <c r="I117" t="s">
        <v>456</v>
      </c>
      <c r="J117" t="str">
        <f>VLOOKUP(A117,Klijenti!$A$1:$F$11,2,FALSE)</f>
        <v>Prostor za Uživanje</v>
      </c>
      <c r="K117" t="str">
        <f>VLOOKUP(A117,Klijenti!$A$1:$F$11,3,FALSE)</f>
        <v>Srbija</v>
      </c>
    </row>
    <row r="118" spans="1:11">
      <c r="A118" s="5">
        <v>108</v>
      </c>
      <c r="B118" s="12">
        <v>45324</v>
      </c>
      <c r="C118" s="5">
        <v>466126</v>
      </c>
      <c r="D118" s="5" t="s">
        <v>84</v>
      </c>
      <c r="E118" s="5">
        <v>7</v>
      </c>
      <c r="F118" s="28" t="s">
        <v>255</v>
      </c>
      <c r="G118" t="str">
        <f>VLOOKUP(D118,Proizvodi!$A$1:$F$15,2,FALSE)</f>
        <v>Nameštaj za spavaću sobu</v>
      </c>
      <c r="H118" t="str">
        <f>VLOOKUP(D118,Proizvodi!$A$1:$F$15,3,FALSE)</f>
        <v>Noćni ormarić</v>
      </c>
      <c r="I118" t="s">
        <v>452</v>
      </c>
      <c r="J118" t="str">
        <f>VLOOKUP(A118,Klijenti!$A$1:$F$11,2,FALSE)</f>
        <v>Dom &amp; Dekor</v>
      </c>
      <c r="K118" t="str">
        <f>VLOOKUP(A118,Klijenti!$A$1:$F$11,3,FALSE)</f>
        <v>Beogradski region</v>
      </c>
    </row>
    <row r="119" spans="1:11">
      <c r="A119" s="5">
        <v>151</v>
      </c>
      <c r="B119" s="12">
        <v>45338</v>
      </c>
      <c r="C119" s="5">
        <v>443480</v>
      </c>
      <c r="D119" s="5" t="s">
        <v>79</v>
      </c>
      <c r="E119" s="5">
        <v>22</v>
      </c>
      <c r="F119" s="28" t="s">
        <v>256</v>
      </c>
      <c r="G119" t="str">
        <f>VLOOKUP(D119,Proizvodi!$A$1:$F$15,2,FALSE)</f>
        <v>Kuhinja</v>
      </c>
      <c r="H119" t="str">
        <f>VLOOKUP(D119,Proizvodi!$A$1:$F$15,3,FALSE)</f>
        <v>Kuhinjsko ostrvo</v>
      </c>
      <c r="I119" t="s">
        <v>453</v>
      </c>
      <c r="J119" t="str">
        <f>VLOOKUP(A119,Klijenti!$A$1:$F$11,2,FALSE)</f>
        <v>Estetski Kutak</v>
      </c>
      <c r="K119" t="str">
        <f>VLOOKUP(A119,Klijenti!$A$1:$F$11,3,FALSE)</f>
        <v>Srbija</v>
      </c>
    </row>
    <row r="120" spans="1:11">
      <c r="A120" s="5">
        <v>163</v>
      </c>
      <c r="B120" s="12">
        <v>45374</v>
      </c>
      <c r="C120" s="5">
        <v>443480</v>
      </c>
      <c r="D120" s="5" t="s">
        <v>107</v>
      </c>
      <c r="E120" s="5">
        <v>4</v>
      </c>
      <c r="F120" s="28" t="s">
        <v>257</v>
      </c>
      <c r="G120" t="str">
        <f>VLOOKUP(D120,Proizvodi!$A$1:$F$15,2,FALSE)</f>
        <v>Kuhinja</v>
      </c>
      <c r="H120" t="str">
        <f>VLOOKUP(D120,Proizvodi!$A$1:$F$15,3,FALSE)</f>
        <v>Viseća polica</v>
      </c>
      <c r="I120" t="s">
        <v>453</v>
      </c>
      <c r="J120" t="str">
        <f>VLOOKUP(A120,Klijenti!$A$1:$F$11,2,FALSE)</f>
        <v>Sofistikacija Doma</v>
      </c>
      <c r="K120" t="str">
        <f>VLOOKUP(A120,Klijenti!$A$1:$F$11,3,FALSE)</f>
        <v>Šumadija</v>
      </c>
    </row>
    <row r="121" spans="1:11">
      <c r="A121" s="5">
        <v>152</v>
      </c>
      <c r="B121" s="12">
        <v>45328</v>
      </c>
      <c r="C121" s="5">
        <v>171444</v>
      </c>
      <c r="D121" s="5" t="s">
        <v>76</v>
      </c>
      <c r="E121" s="5">
        <v>34</v>
      </c>
      <c r="F121" s="28" t="s">
        <v>258</v>
      </c>
      <c r="G121" t="str">
        <f>VLOOKUP(D121,Proizvodi!$A$1:$F$15,2,FALSE)</f>
        <v>Nameštaj za dnevnu sobu</v>
      </c>
      <c r="H121" t="str">
        <f>VLOOKUP(D121,Proizvodi!$A$1:$F$15,3,FALSE)</f>
        <v>Komoda</v>
      </c>
      <c r="I121" t="s">
        <v>456</v>
      </c>
      <c r="J121" t="str">
        <f>VLOOKUP(A121,Klijenti!$A$1:$F$11,2,FALSE)</f>
        <v>Prostor za Uživanje</v>
      </c>
      <c r="K121" t="str">
        <f>VLOOKUP(A121,Klijenti!$A$1:$F$11,3,FALSE)</f>
        <v>Srbija</v>
      </c>
    </row>
    <row r="122" spans="1:11">
      <c r="A122" s="5">
        <v>179</v>
      </c>
      <c r="B122" s="12">
        <v>45353</v>
      </c>
      <c r="C122" s="5">
        <v>243994</v>
      </c>
      <c r="D122" s="5" t="s">
        <v>79</v>
      </c>
      <c r="E122" s="5">
        <v>16</v>
      </c>
      <c r="F122" s="28" t="s">
        <v>259</v>
      </c>
      <c r="G122" t="str">
        <f>VLOOKUP(D122,Proizvodi!$A$1:$F$15,2,FALSE)</f>
        <v>Kuhinja</v>
      </c>
      <c r="H122" t="str">
        <f>VLOOKUP(D122,Proizvodi!$A$1:$F$15,3,FALSE)</f>
        <v>Kuhinjsko ostrvo</v>
      </c>
      <c r="I122" t="s">
        <v>455</v>
      </c>
      <c r="J122" t="str">
        <f>VLOOKUP(A122,Klijenti!$A$1:$F$11,2,FALSE)</f>
        <v>Elegantni Enterijeri</v>
      </c>
      <c r="K122" t="str">
        <f>VLOOKUP(A122,Klijenti!$A$1:$F$11,3,FALSE)</f>
        <v>Južni i Šumadijski region</v>
      </c>
    </row>
    <row r="123" spans="1:11">
      <c r="A123" s="5">
        <v>195</v>
      </c>
      <c r="B123" s="12">
        <v>45352</v>
      </c>
      <c r="C123" s="5">
        <v>466126</v>
      </c>
      <c r="D123" s="5" t="s">
        <v>76</v>
      </c>
      <c r="E123" s="5">
        <v>22</v>
      </c>
      <c r="F123" s="28" t="s">
        <v>260</v>
      </c>
      <c r="G123" t="str">
        <f>VLOOKUP(D123,Proizvodi!$A$1:$F$15,2,FALSE)</f>
        <v>Nameštaj za dnevnu sobu</v>
      </c>
      <c r="H123" t="str">
        <f>VLOOKUP(D123,Proizvodi!$A$1:$F$15,3,FALSE)</f>
        <v>Komoda</v>
      </c>
      <c r="I123" t="s">
        <v>452</v>
      </c>
      <c r="J123" t="str">
        <f>VLOOKUP(A123,Klijenti!$A$1:$F$11,2,FALSE)</f>
        <v>Moderni Dom</v>
      </c>
      <c r="K123" t="str">
        <f>VLOOKUP(A123,Klijenti!$A$1:$F$11,3,FALSE)</f>
        <v>Srbija</v>
      </c>
    </row>
    <row r="124" spans="1:11">
      <c r="A124" s="5">
        <v>152</v>
      </c>
      <c r="B124" s="12">
        <v>45334</v>
      </c>
      <c r="C124" s="5">
        <v>171444</v>
      </c>
      <c r="D124" s="5" t="s">
        <v>91</v>
      </c>
      <c r="E124" s="5">
        <v>37</v>
      </c>
      <c r="F124" s="28" t="s">
        <v>261</v>
      </c>
      <c r="G124" t="str">
        <f>VLOOKUP(D124,Proizvodi!$A$1:$F$15,2,FALSE)</f>
        <v>Nameštaj za dnevnu sobu</v>
      </c>
      <c r="H124" t="str">
        <f>VLOOKUP(D124,Proizvodi!$A$1:$F$15,3,FALSE)</f>
        <v>Polica za knjige</v>
      </c>
      <c r="I124" t="s">
        <v>456</v>
      </c>
      <c r="J124" t="str">
        <f>VLOOKUP(A124,Klijenti!$A$1:$F$11,2,FALSE)</f>
        <v>Prostor za Uživanje</v>
      </c>
      <c r="K124" t="str">
        <f>VLOOKUP(A124,Klijenti!$A$1:$F$11,3,FALSE)</f>
        <v>Srbija</v>
      </c>
    </row>
    <row r="125" spans="1:11">
      <c r="A125" s="5">
        <v>195</v>
      </c>
      <c r="B125" s="12">
        <v>45321</v>
      </c>
      <c r="C125" s="5">
        <v>688897</v>
      </c>
      <c r="D125" s="5" t="s">
        <v>76</v>
      </c>
      <c r="E125" s="5">
        <v>26</v>
      </c>
      <c r="F125" s="28" t="s">
        <v>262</v>
      </c>
      <c r="G125" t="str">
        <f>VLOOKUP(D125,Proizvodi!$A$1:$F$15,2,FALSE)</f>
        <v>Nameštaj za dnevnu sobu</v>
      </c>
      <c r="H125" t="str">
        <f>VLOOKUP(D125,Proizvodi!$A$1:$F$15,3,FALSE)</f>
        <v>Komoda</v>
      </c>
      <c r="I125" t="s">
        <v>454</v>
      </c>
      <c r="J125" t="str">
        <f>VLOOKUP(A125,Klijenti!$A$1:$F$11,2,FALSE)</f>
        <v>Moderni Dom</v>
      </c>
      <c r="K125" t="str">
        <f>VLOOKUP(A125,Klijenti!$A$1:$F$11,3,FALSE)</f>
        <v>Srbija</v>
      </c>
    </row>
    <row r="126" spans="1:11">
      <c r="A126" s="5">
        <v>163</v>
      </c>
      <c r="B126" s="12">
        <v>45360</v>
      </c>
      <c r="C126" s="5">
        <v>443480</v>
      </c>
      <c r="D126" s="5" t="s">
        <v>82</v>
      </c>
      <c r="E126" s="5">
        <v>45</v>
      </c>
      <c r="F126" s="28" t="s">
        <v>263</v>
      </c>
      <c r="G126" t="str">
        <f>VLOOKUP(D126,Proizvodi!$A$1:$F$15,2,FALSE)</f>
        <v>Nameštaj za dnevnu sobu</v>
      </c>
      <c r="H126" t="str">
        <f>VLOOKUP(D126,Proizvodi!$A$1:$F$15,3,FALSE)</f>
        <v>Klub sto</v>
      </c>
      <c r="I126" t="s">
        <v>453</v>
      </c>
      <c r="J126" t="str">
        <f>VLOOKUP(A126,Klijenti!$A$1:$F$11,2,FALSE)</f>
        <v>Sofistikacija Doma</v>
      </c>
      <c r="K126" t="str">
        <f>VLOOKUP(A126,Klijenti!$A$1:$F$11,3,FALSE)</f>
        <v>Šumadija</v>
      </c>
    </row>
    <row r="127" spans="1:11">
      <c r="A127" s="5">
        <v>152</v>
      </c>
      <c r="B127" s="12">
        <v>45340</v>
      </c>
      <c r="C127" s="5">
        <v>171444</v>
      </c>
      <c r="D127" s="5" t="s">
        <v>103</v>
      </c>
      <c r="E127" s="5">
        <v>42</v>
      </c>
      <c r="F127" s="28" t="s">
        <v>264</v>
      </c>
      <c r="G127" t="str">
        <f>VLOOKUP(D127,Proizvodi!$A$1:$F$15,2,FALSE)</f>
        <v>Nameštaj za dnevnu sobu</v>
      </c>
      <c r="H127" t="str">
        <f>VLOOKUP(D127,Proizvodi!$A$1:$F$15,3,FALSE)</f>
        <v>Tabure</v>
      </c>
      <c r="I127" t="s">
        <v>456</v>
      </c>
      <c r="J127" t="str">
        <f>VLOOKUP(A127,Klijenti!$A$1:$F$11,2,FALSE)</f>
        <v>Prostor za Uživanje</v>
      </c>
      <c r="K127" t="str">
        <f>VLOOKUP(A127,Klijenti!$A$1:$F$11,3,FALSE)</f>
        <v>Srbija</v>
      </c>
    </row>
    <row r="128" spans="1:11">
      <c r="A128" s="5">
        <v>127</v>
      </c>
      <c r="B128" s="12">
        <v>45332</v>
      </c>
      <c r="C128" s="5">
        <v>171444</v>
      </c>
      <c r="D128" s="5" t="s">
        <v>82</v>
      </c>
      <c r="E128" s="5">
        <v>38</v>
      </c>
      <c r="F128" s="28" t="s">
        <v>265</v>
      </c>
      <c r="G128" t="str">
        <f>VLOOKUP(D128,Proizvodi!$A$1:$F$15,2,FALSE)</f>
        <v>Nameštaj za dnevnu sobu</v>
      </c>
      <c r="H128" t="str">
        <f>VLOOKUP(D128,Proizvodi!$A$1:$F$15,3,FALSE)</f>
        <v>Klub sto</v>
      </c>
      <c r="I128" t="s">
        <v>456</v>
      </c>
      <c r="J128" t="str">
        <f>VLOOKUP(A128,Klijenti!$A$1:$F$11,2,FALSE)</f>
        <v>Luksuzni Dizajn</v>
      </c>
      <c r="K128" t="str">
        <f>VLOOKUP(A128,Klijenti!$A$1:$F$11,3,FALSE)</f>
        <v>Vojvodina</v>
      </c>
    </row>
    <row r="129" spans="1:11">
      <c r="A129" s="5">
        <v>186</v>
      </c>
      <c r="B129" s="12">
        <v>45334</v>
      </c>
      <c r="C129" s="5">
        <v>243994</v>
      </c>
      <c r="D129" s="5" t="s">
        <v>98</v>
      </c>
      <c r="E129" s="5">
        <v>7</v>
      </c>
      <c r="F129" s="28" t="s">
        <v>266</v>
      </c>
      <c r="G129" t="str">
        <f>VLOOKUP(D129,Proizvodi!$A$1:$F$15,2,FALSE)</f>
        <v>Nameštaj za dnevnu sobu</v>
      </c>
      <c r="H129" t="str">
        <f>VLOOKUP(D129,Proizvodi!$A$1:$F$15,3,FALSE)</f>
        <v>Sofa</v>
      </c>
      <c r="I129" t="s">
        <v>455</v>
      </c>
      <c r="J129" t="str">
        <f>VLOOKUP(A129,Klijenti!$A$1:$F$11,2,FALSE)</f>
        <v>Kuća- Uređenje i Dizajn</v>
      </c>
      <c r="K129" t="str">
        <f>VLOOKUP(A129,Klijenti!$A$1:$F$11,3,FALSE)</f>
        <v>Beogradski region</v>
      </c>
    </row>
    <row r="130" spans="1:11">
      <c r="A130" s="5">
        <v>152</v>
      </c>
      <c r="B130" s="12">
        <v>45373</v>
      </c>
      <c r="C130" s="5">
        <v>171444</v>
      </c>
      <c r="D130" s="5" t="s">
        <v>105</v>
      </c>
      <c r="E130" s="5">
        <v>32</v>
      </c>
      <c r="F130" s="28" t="s">
        <v>267</v>
      </c>
      <c r="G130" t="str">
        <f>VLOOKUP(D130,Proizvodi!$A$1:$F$15,2,FALSE)</f>
        <v>Trpezarija</v>
      </c>
      <c r="H130" t="str">
        <f>VLOOKUP(D130,Proizvodi!$A$1:$F$15,3,FALSE)</f>
        <v>Trpezarijski sto</v>
      </c>
      <c r="I130" t="s">
        <v>456</v>
      </c>
      <c r="J130" t="str">
        <f>VLOOKUP(A130,Klijenti!$A$1:$F$11,2,FALSE)</f>
        <v>Prostor za Uživanje</v>
      </c>
      <c r="K130" t="str">
        <f>VLOOKUP(A130,Klijenti!$A$1:$F$11,3,FALSE)</f>
        <v>Srbija</v>
      </c>
    </row>
    <row r="131" spans="1:11">
      <c r="A131" s="5">
        <v>157</v>
      </c>
      <c r="B131" s="12">
        <v>45305</v>
      </c>
      <c r="C131" s="5">
        <v>688897</v>
      </c>
      <c r="D131" s="5" t="s">
        <v>91</v>
      </c>
      <c r="E131" s="5">
        <v>8</v>
      </c>
      <c r="F131" s="28" t="s">
        <v>268</v>
      </c>
      <c r="G131" t="str">
        <f>VLOOKUP(D131,Proizvodi!$A$1:$F$15,2,FALSE)</f>
        <v>Nameštaj za dnevnu sobu</v>
      </c>
      <c r="H131" t="str">
        <f>VLOOKUP(D131,Proizvodi!$A$1:$F$15,3,FALSE)</f>
        <v>Polica za knjige</v>
      </c>
      <c r="I131" t="s">
        <v>454</v>
      </c>
      <c r="J131" t="str">
        <f>VLOOKUP(A131,Klijenti!$A$1:$F$11,2,FALSE)</f>
        <v>Stilski Stan</v>
      </c>
      <c r="K131" t="str">
        <f>VLOOKUP(A131,Klijenti!$A$1:$F$11,3,FALSE)</f>
        <v>Vojvodina i Beograd</v>
      </c>
    </row>
    <row r="132" spans="1:11">
      <c r="A132" s="5">
        <v>108</v>
      </c>
      <c r="B132" s="12">
        <v>45318</v>
      </c>
      <c r="C132" s="5">
        <v>466126</v>
      </c>
      <c r="D132" s="5" t="s">
        <v>95</v>
      </c>
      <c r="E132" s="5">
        <v>12</v>
      </c>
      <c r="F132" s="28" t="s">
        <v>269</v>
      </c>
      <c r="G132" t="str">
        <f>VLOOKUP(D132,Proizvodi!$A$1:$F$15,2,FALSE)</f>
        <v>Nameštaj za radnu sobu</v>
      </c>
      <c r="H132" t="str">
        <f>VLOOKUP(D132,Proizvodi!$A$1:$F$15,3,FALSE)</f>
        <v>Radni sto</v>
      </c>
      <c r="I132" t="s">
        <v>452</v>
      </c>
      <c r="J132" t="str">
        <f>VLOOKUP(A132,Klijenti!$A$1:$F$11,2,FALSE)</f>
        <v>Dom &amp; Dekor</v>
      </c>
      <c r="K132" t="str">
        <f>VLOOKUP(A132,Klijenti!$A$1:$F$11,3,FALSE)</f>
        <v>Beogradski region</v>
      </c>
    </row>
    <row r="133" spans="1:11">
      <c r="A133" s="5">
        <v>153</v>
      </c>
      <c r="B133" s="12">
        <v>45308</v>
      </c>
      <c r="C133" s="5">
        <v>243994</v>
      </c>
      <c r="D133" s="5" t="s">
        <v>89</v>
      </c>
      <c r="E133" s="5">
        <v>7</v>
      </c>
      <c r="F133" s="28" t="s">
        <v>270</v>
      </c>
      <c r="G133" t="str">
        <f>VLOOKUP(D133,Proizvodi!$A$1:$F$15,2,FALSE)</f>
        <v>Nameštaj za dnevnu sobu</v>
      </c>
      <c r="H133" t="str">
        <f>VLOOKUP(D133,Proizvodi!$A$1:$F$15,3,FALSE)</f>
        <v>Ogledalo za zid</v>
      </c>
      <c r="I133" t="s">
        <v>455</v>
      </c>
      <c r="J133" t="str">
        <f>VLOOKUP(A133,Klijenti!$A$1:$F$11,2,FALSE)</f>
        <v>Udobni Kutak</v>
      </c>
      <c r="K133" t="str">
        <f>VLOOKUP(A133,Klijenti!$A$1:$F$11,3,FALSE)</f>
        <v>Južni region</v>
      </c>
    </row>
    <row r="134" spans="1:11">
      <c r="A134" s="5">
        <v>195</v>
      </c>
      <c r="B134" s="12">
        <v>45362</v>
      </c>
      <c r="C134" s="5">
        <v>466126</v>
      </c>
      <c r="D134" s="5" t="s">
        <v>100</v>
      </c>
      <c r="E134" s="5">
        <v>25</v>
      </c>
      <c r="F134" s="28" t="s">
        <v>271</v>
      </c>
      <c r="G134" t="str">
        <f>VLOOKUP(D134,Proizvodi!$A$1:$F$15,2,FALSE)</f>
        <v>Trpezarija</v>
      </c>
      <c r="H134" t="str">
        <f>VLOOKUP(D134,Proizvodi!$A$1:$F$15,3,FALSE)</f>
        <v>Stolica za ručavanje</v>
      </c>
      <c r="I134" t="s">
        <v>452</v>
      </c>
      <c r="J134" t="str">
        <f>VLOOKUP(A134,Klijenti!$A$1:$F$11,2,FALSE)</f>
        <v>Moderni Dom</v>
      </c>
      <c r="K134" t="str">
        <f>VLOOKUP(A134,Klijenti!$A$1:$F$11,3,FALSE)</f>
        <v>Srbija</v>
      </c>
    </row>
    <row r="135" spans="1:11">
      <c r="A135" s="5">
        <v>153</v>
      </c>
      <c r="B135" s="12">
        <v>45355</v>
      </c>
      <c r="C135" s="5">
        <v>688897</v>
      </c>
      <c r="D135" s="5" t="s">
        <v>82</v>
      </c>
      <c r="E135" s="5">
        <v>43</v>
      </c>
      <c r="F135" s="28" t="s">
        <v>272</v>
      </c>
      <c r="G135" t="str">
        <f>VLOOKUP(D135,Proizvodi!$A$1:$F$15,2,FALSE)</f>
        <v>Nameštaj za dnevnu sobu</v>
      </c>
      <c r="H135" t="str">
        <f>VLOOKUP(D135,Proizvodi!$A$1:$F$15,3,FALSE)</f>
        <v>Klub sto</v>
      </c>
      <c r="I135" t="s">
        <v>454</v>
      </c>
      <c r="J135" t="str">
        <f>VLOOKUP(A135,Klijenti!$A$1:$F$11,2,FALSE)</f>
        <v>Udobni Kutak</v>
      </c>
      <c r="K135" t="str">
        <f>VLOOKUP(A135,Klijenti!$A$1:$F$11,3,FALSE)</f>
        <v>Južni region</v>
      </c>
    </row>
    <row r="136" spans="1:11">
      <c r="A136" s="5">
        <v>153</v>
      </c>
      <c r="B136" s="12">
        <v>45368</v>
      </c>
      <c r="C136" s="5">
        <v>688897</v>
      </c>
      <c r="D136" s="5" t="s">
        <v>89</v>
      </c>
      <c r="E136" s="5">
        <v>19</v>
      </c>
      <c r="F136" s="28" t="s">
        <v>273</v>
      </c>
      <c r="G136" t="str">
        <f>VLOOKUP(D136,Proizvodi!$A$1:$F$15,2,FALSE)</f>
        <v>Nameštaj za dnevnu sobu</v>
      </c>
      <c r="H136" t="str">
        <f>VLOOKUP(D136,Proizvodi!$A$1:$F$15,3,FALSE)</f>
        <v>Ogledalo za zid</v>
      </c>
      <c r="I136" t="s">
        <v>454</v>
      </c>
      <c r="J136" t="str">
        <f>VLOOKUP(A136,Klijenti!$A$1:$F$11,2,FALSE)</f>
        <v>Udobni Kutak</v>
      </c>
      <c r="K136" t="str">
        <f>VLOOKUP(A136,Klijenti!$A$1:$F$11,3,FALSE)</f>
        <v>Južni region</v>
      </c>
    </row>
    <row r="137" spans="1:11">
      <c r="A137" s="5">
        <v>186</v>
      </c>
      <c r="B137" s="12">
        <v>45373</v>
      </c>
      <c r="C137" s="5">
        <v>243994</v>
      </c>
      <c r="D137" s="5" t="s">
        <v>82</v>
      </c>
      <c r="E137" s="5">
        <v>9</v>
      </c>
      <c r="F137" s="28" t="s">
        <v>274</v>
      </c>
      <c r="G137" t="str">
        <f>VLOOKUP(D137,Proizvodi!$A$1:$F$15,2,FALSE)</f>
        <v>Nameštaj za dnevnu sobu</v>
      </c>
      <c r="H137" t="str">
        <f>VLOOKUP(D137,Proizvodi!$A$1:$F$15,3,FALSE)</f>
        <v>Klub sto</v>
      </c>
      <c r="I137" t="s">
        <v>455</v>
      </c>
      <c r="J137" t="str">
        <f>VLOOKUP(A137,Klijenti!$A$1:$F$11,2,FALSE)</f>
        <v>Kuća- Uređenje i Dizajn</v>
      </c>
      <c r="K137" t="str">
        <f>VLOOKUP(A137,Klijenti!$A$1:$F$11,3,FALSE)</f>
        <v>Beogradski region</v>
      </c>
    </row>
    <row r="138" spans="1:11">
      <c r="A138" s="5">
        <v>179</v>
      </c>
      <c r="B138" s="12">
        <v>45305</v>
      </c>
      <c r="C138" s="5">
        <v>243994</v>
      </c>
      <c r="D138" s="5" t="s">
        <v>91</v>
      </c>
      <c r="E138" s="5">
        <v>32</v>
      </c>
      <c r="F138" s="28" t="s">
        <v>275</v>
      </c>
      <c r="G138" t="str">
        <f>VLOOKUP(D138,Proizvodi!$A$1:$F$15,2,FALSE)</f>
        <v>Nameštaj za dnevnu sobu</v>
      </c>
      <c r="H138" t="str">
        <f>VLOOKUP(D138,Proizvodi!$A$1:$F$15,3,FALSE)</f>
        <v>Polica za knjige</v>
      </c>
      <c r="I138" t="s">
        <v>455</v>
      </c>
      <c r="J138" t="str">
        <f>VLOOKUP(A138,Klijenti!$A$1:$F$11,2,FALSE)</f>
        <v>Elegantni Enterijeri</v>
      </c>
      <c r="K138" t="str">
        <f>VLOOKUP(A138,Klijenti!$A$1:$F$11,3,FALSE)</f>
        <v>Južni i Šumadijski region</v>
      </c>
    </row>
    <row r="139" spans="1:11">
      <c r="A139" s="5">
        <v>186</v>
      </c>
      <c r="B139" s="12">
        <v>45313</v>
      </c>
      <c r="C139" s="5">
        <v>243994</v>
      </c>
      <c r="D139" s="5" t="s">
        <v>84</v>
      </c>
      <c r="E139" s="5">
        <v>50</v>
      </c>
      <c r="F139" s="28" t="s">
        <v>276</v>
      </c>
      <c r="G139" t="str">
        <f>VLOOKUP(D139,Proizvodi!$A$1:$F$15,2,FALSE)</f>
        <v>Nameštaj za spavaću sobu</v>
      </c>
      <c r="H139" t="str">
        <f>VLOOKUP(D139,Proizvodi!$A$1:$F$15,3,FALSE)</f>
        <v>Noćni ormarić</v>
      </c>
      <c r="I139" t="s">
        <v>455</v>
      </c>
      <c r="J139" t="str">
        <f>VLOOKUP(A139,Klijenti!$A$1:$F$11,2,FALSE)</f>
        <v>Kuća- Uređenje i Dizajn</v>
      </c>
      <c r="K139" t="str">
        <f>VLOOKUP(A139,Klijenti!$A$1:$F$11,3,FALSE)</f>
        <v>Beogradski region</v>
      </c>
    </row>
    <row r="140" spans="1:11">
      <c r="A140" s="5">
        <v>179</v>
      </c>
      <c r="B140" s="12">
        <v>45300</v>
      </c>
      <c r="C140" s="5">
        <v>243994</v>
      </c>
      <c r="D140" s="5" t="s">
        <v>87</v>
      </c>
      <c r="E140" s="5">
        <v>13</v>
      </c>
      <c r="F140" s="28" t="s">
        <v>277</v>
      </c>
      <c r="G140" t="str">
        <f>VLOOKUP(D140,Proizvodi!$A$1:$F$15,2,FALSE)</f>
        <v>Nameštaj za dnevnu sobu</v>
      </c>
      <c r="H140" t="str">
        <f>VLOOKUP(D140,Proizvodi!$A$1:$F$15,3,FALSE)</f>
        <v>Ormarić za TV</v>
      </c>
      <c r="I140" t="s">
        <v>455</v>
      </c>
      <c r="J140" t="str">
        <f>VLOOKUP(A140,Klijenti!$A$1:$F$11,2,FALSE)</f>
        <v>Elegantni Enterijeri</v>
      </c>
      <c r="K140" t="str">
        <f>VLOOKUP(A140,Klijenti!$A$1:$F$11,3,FALSE)</f>
        <v>Južni i Šumadijski region</v>
      </c>
    </row>
    <row r="141" spans="1:11">
      <c r="A141" s="5">
        <v>157</v>
      </c>
      <c r="B141" s="12">
        <v>45295</v>
      </c>
      <c r="C141" s="5">
        <v>688897</v>
      </c>
      <c r="D141" s="5" t="s">
        <v>105</v>
      </c>
      <c r="E141" s="5">
        <v>4</v>
      </c>
      <c r="F141" s="28" t="s">
        <v>278</v>
      </c>
      <c r="G141" t="str">
        <f>VLOOKUP(D141,Proizvodi!$A$1:$F$15,2,FALSE)</f>
        <v>Trpezarija</v>
      </c>
      <c r="H141" t="str">
        <f>VLOOKUP(D141,Proizvodi!$A$1:$F$15,3,FALSE)</f>
        <v>Trpezarijski sto</v>
      </c>
      <c r="I141" t="s">
        <v>454</v>
      </c>
      <c r="J141" t="str">
        <f>VLOOKUP(A141,Klijenti!$A$1:$F$11,2,FALSE)</f>
        <v>Stilski Stan</v>
      </c>
      <c r="K141" t="str">
        <f>VLOOKUP(A141,Klijenti!$A$1:$F$11,3,FALSE)</f>
        <v>Vojvodina i Beograd</v>
      </c>
    </row>
    <row r="142" spans="1:11">
      <c r="A142" s="5">
        <v>151</v>
      </c>
      <c r="B142" s="12">
        <v>45295</v>
      </c>
      <c r="C142" s="5">
        <v>443480</v>
      </c>
      <c r="D142" s="5" t="s">
        <v>105</v>
      </c>
      <c r="E142" s="5">
        <v>34</v>
      </c>
      <c r="F142" s="28" t="s">
        <v>279</v>
      </c>
      <c r="G142" t="str">
        <f>VLOOKUP(D142,Proizvodi!$A$1:$F$15,2,FALSE)</f>
        <v>Trpezarija</v>
      </c>
      <c r="H142" t="str">
        <f>VLOOKUP(D142,Proizvodi!$A$1:$F$15,3,FALSE)</f>
        <v>Trpezarijski sto</v>
      </c>
      <c r="I142" t="s">
        <v>453</v>
      </c>
      <c r="J142" t="str">
        <f>VLOOKUP(A142,Klijenti!$A$1:$F$11,2,FALSE)</f>
        <v>Estetski Kutak</v>
      </c>
      <c r="K142" t="str">
        <f>VLOOKUP(A142,Klijenti!$A$1:$F$11,3,FALSE)</f>
        <v>Srbija</v>
      </c>
    </row>
    <row r="143" spans="1:11">
      <c r="A143" s="5">
        <v>163</v>
      </c>
      <c r="B143" s="12">
        <v>45335</v>
      </c>
      <c r="C143" s="5">
        <v>443480</v>
      </c>
      <c r="D143" s="5" t="s">
        <v>89</v>
      </c>
      <c r="E143" s="5">
        <v>20</v>
      </c>
      <c r="F143" s="28" t="s">
        <v>280</v>
      </c>
      <c r="G143" t="str">
        <f>VLOOKUP(D143,Proizvodi!$A$1:$F$15,2,FALSE)</f>
        <v>Nameštaj za dnevnu sobu</v>
      </c>
      <c r="H143" t="str">
        <f>VLOOKUP(D143,Proizvodi!$A$1:$F$15,3,FALSE)</f>
        <v>Ogledalo za zid</v>
      </c>
      <c r="I143" t="s">
        <v>453</v>
      </c>
      <c r="J143" t="str">
        <f>VLOOKUP(A143,Klijenti!$A$1:$F$11,2,FALSE)</f>
        <v>Sofistikacija Doma</v>
      </c>
      <c r="K143" t="str">
        <f>VLOOKUP(A143,Klijenti!$A$1:$F$11,3,FALSE)</f>
        <v>Šumadija</v>
      </c>
    </row>
    <row r="144" spans="1:11">
      <c r="A144" s="5">
        <v>127</v>
      </c>
      <c r="B144" s="12">
        <v>45339</v>
      </c>
      <c r="C144" s="5">
        <v>171444</v>
      </c>
      <c r="D144" s="5" t="s">
        <v>107</v>
      </c>
      <c r="E144" s="5">
        <v>21</v>
      </c>
      <c r="F144" s="28" t="s">
        <v>281</v>
      </c>
      <c r="G144" t="str">
        <f>VLOOKUP(D144,Proizvodi!$A$1:$F$15,2,FALSE)</f>
        <v>Kuhinja</v>
      </c>
      <c r="H144" t="str">
        <f>VLOOKUP(D144,Proizvodi!$A$1:$F$15,3,FALSE)</f>
        <v>Viseća polica</v>
      </c>
      <c r="I144" t="s">
        <v>456</v>
      </c>
      <c r="J144" t="str">
        <f>VLOOKUP(A144,Klijenti!$A$1:$F$11,2,FALSE)</f>
        <v>Luksuzni Dizajn</v>
      </c>
      <c r="K144" t="str">
        <f>VLOOKUP(A144,Klijenti!$A$1:$F$11,3,FALSE)</f>
        <v>Vojvodina</v>
      </c>
    </row>
    <row r="145" spans="1:11">
      <c r="A145" s="5">
        <v>179</v>
      </c>
      <c r="B145" s="12">
        <v>45299</v>
      </c>
      <c r="C145" s="5">
        <v>243994</v>
      </c>
      <c r="D145" s="5" t="s">
        <v>79</v>
      </c>
      <c r="E145" s="5">
        <v>35</v>
      </c>
      <c r="F145" s="28" t="s">
        <v>282</v>
      </c>
      <c r="G145" t="str">
        <f>VLOOKUP(D145,Proizvodi!$A$1:$F$15,2,FALSE)</f>
        <v>Kuhinja</v>
      </c>
      <c r="H145" t="str">
        <f>VLOOKUP(D145,Proizvodi!$A$1:$F$15,3,FALSE)</f>
        <v>Kuhinjsko ostrvo</v>
      </c>
      <c r="I145" t="s">
        <v>455</v>
      </c>
      <c r="J145" t="str">
        <f>VLOOKUP(A145,Klijenti!$A$1:$F$11,2,FALSE)</f>
        <v>Elegantni Enterijeri</v>
      </c>
      <c r="K145" t="str">
        <f>VLOOKUP(A145,Klijenti!$A$1:$F$11,3,FALSE)</f>
        <v>Južni i Šumadijski region</v>
      </c>
    </row>
    <row r="146" spans="1:11">
      <c r="A146" s="5">
        <v>179</v>
      </c>
      <c r="B146" s="12">
        <v>45361</v>
      </c>
      <c r="C146" s="5">
        <v>243994</v>
      </c>
      <c r="D146" s="5" t="s">
        <v>76</v>
      </c>
      <c r="E146" s="5">
        <v>26</v>
      </c>
      <c r="F146" s="28" t="s">
        <v>283</v>
      </c>
      <c r="G146" t="str">
        <f>VLOOKUP(D146,Proizvodi!$A$1:$F$15,2,FALSE)</f>
        <v>Nameštaj za dnevnu sobu</v>
      </c>
      <c r="H146" t="str">
        <f>VLOOKUP(D146,Proizvodi!$A$1:$F$15,3,FALSE)</f>
        <v>Komoda</v>
      </c>
      <c r="I146" t="s">
        <v>455</v>
      </c>
      <c r="J146" t="str">
        <f>VLOOKUP(A146,Klijenti!$A$1:$F$11,2,FALSE)</f>
        <v>Elegantni Enterijeri</v>
      </c>
      <c r="K146" t="str">
        <f>VLOOKUP(A146,Klijenti!$A$1:$F$11,3,FALSE)</f>
        <v>Južni i Šumadijski region</v>
      </c>
    </row>
    <row r="147" spans="1:11">
      <c r="A147" s="5">
        <v>151</v>
      </c>
      <c r="B147" s="12">
        <v>45326</v>
      </c>
      <c r="C147" s="5">
        <v>171444</v>
      </c>
      <c r="D147" s="5" t="s">
        <v>103</v>
      </c>
      <c r="E147" s="5">
        <v>11</v>
      </c>
      <c r="F147" s="28" t="s">
        <v>284</v>
      </c>
      <c r="G147" t="str">
        <f>VLOOKUP(D147,Proizvodi!$A$1:$F$15,2,FALSE)</f>
        <v>Nameštaj za dnevnu sobu</v>
      </c>
      <c r="H147" t="str">
        <f>VLOOKUP(D147,Proizvodi!$A$1:$F$15,3,FALSE)</f>
        <v>Tabure</v>
      </c>
      <c r="I147" t="s">
        <v>456</v>
      </c>
      <c r="J147" t="str">
        <f>VLOOKUP(A147,Klijenti!$A$1:$F$11,2,FALSE)</f>
        <v>Estetski Kutak</v>
      </c>
      <c r="K147" t="str">
        <f>VLOOKUP(A147,Klijenti!$A$1:$F$11,3,FALSE)</f>
        <v>Srbija</v>
      </c>
    </row>
    <row r="148" spans="1:11">
      <c r="A148" s="5">
        <v>195</v>
      </c>
      <c r="B148" s="12">
        <v>45323</v>
      </c>
      <c r="C148" s="5">
        <v>688897</v>
      </c>
      <c r="D148" s="5" t="s">
        <v>107</v>
      </c>
      <c r="E148" s="5">
        <v>30</v>
      </c>
      <c r="F148" s="28" t="s">
        <v>285</v>
      </c>
      <c r="G148" t="str">
        <f>VLOOKUP(D148,Proizvodi!$A$1:$F$15,2,FALSE)</f>
        <v>Kuhinja</v>
      </c>
      <c r="H148" t="str">
        <f>VLOOKUP(D148,Proizvodi!$A$1:$F$15,3,FALSE)</f>
        <v>Viseća polica</v>
      </c>
      <c r="I148" t="s">
        <v>454</v>
      </c>
      <c r="J148" t="str">
        <f>VLOOKUP(A148,Klijenti!$A$1:$F$11,2,FALSE)</f>
        <v>Moderni Dom</v>
      </c>
      <c r="K148" t="str">
        <f>VLOOKUP(A148,Klijenti!$A$1:$F$11,3,FALSE)</f>
        <v>Srbija</v>
      </c>
    </row>
    <row r="149" spans="1:11">
      <c r="A149" s="5">
        <v>152</v>
      </c>
      <c r="B149" s="12">
        <v>45365</v>
      </c>
      <c r="C149" s="5">
        <v>171444</v>
      </c>
      <c r="D149" s="5" t="s">
        <v>103</v>
      </c>
      <c r="E149" s="5">
        <v>40</v>
      </c>
      <c r="F149" s="28" t="s">
        <v>286</v>
      </c>
      <c r="G149" t="str">
        <f>VLOOKUP(D149,Proizvodi!$A$1:$F$15,2,FALSE)</f>
        <v>Nameštaj za dnevnu sobu</v>
      </c>
      <c r="H149" t="str">
        <f>VLOOKUP(D149,Proizvodi!$A$1:$F$15,3,FALSE)</f>
        <v>Tabure</v>
      </c>
      <c r="I149" t="s">
        <v>456</v>
      </c>
      <c r="J149" t="str">
        <f>VLOOKUP(A149,Klijenti!$A$1:$F$11,2,FALSE)</f>
        <v>Prostor za Uživanje</v>
      </c>
      <c r="K149" t="str">
        <f>VLOOKUP(A149,Klijenti!$A$1:$F$11,3,FALSE)</f>
        <v>Srbija</v>
      </c>
    </row>
    <row r="150" spans="1:11">
      <c r="A150" s="5">
        <v>127</v>
      </c>
      <c r="B150" s="12">
        <v>45327</v>
      </c>
      <c r="C150" s="5">
        <v>171444</v>
      </c>
      <c r="D150" s="5" t="s">
        <v>93</v>
      </c>
      <c r="E150" s="5">
        <v>14</v>
      </c>
      <c r="F150" s="28" t="s">
        <v>287</v>
      </c>
      <c r="G150" t="str">
        <f>VLOOKUP(D150,Proizvodi!$A$1:$F$15,2,FALSE)</f>
        <v>Nameštaj za dnevnu sobu</v>
      </c>
      <c r="H150" t="str">
        <f>VLOOKUP(D150,Proizvodi!$A$1:$F$15,3,FALSE)</f>
        <v>Rasklopiva fotelja</v>
      </c>
      <c r="I150" t="s">
        <v>456</v>
      </c>
      <c r="J150" t="str">
        <f>VLOOKUP(A150,Klijenti!$A$1:$F$11,2,FALSE)</f>
        <v>Luksuzni Dizajn</v>
      </c>
      <c r="K150" t="str">
        <f>VLOOKUP(A150,Klijenti!$A$1:$F$11,3,FALSE)</f>
        <v>Vojvodina</v>
      </c>
    </row>
    <row r="151" spans="1:11">
      <c r="A151" s="5">
        <v>163</v>
      </c>
      <c r="B151" s="12">
        <v>45360</v>
      </c>
      <c r="C151" s="5">
        <v>443480</v>
      </c>
      <c r="D151" s="5" t="s">
        <v>93</v>
      </c>
      <c r="E151" s="5">
        <v>5</v>
      </c>
      <c r="F151" s="28" t="s">
        <v>288</v>
      </c>
      <c r="G151" t="str">
        <f>VLOOKUP(D151,Proizvodi!$A$1:$F$15,2,FALSE)</f>
        <v>Nameštaj za dnevnu sobu</v>
      </c>
      <c r="H151" t="str">
        <f>VLOOKUP(D151,Proizvodi!$A$1:$F$15,3,FALSE)</f>
        <v>Rasklopiva fotelja</v>
      </c>
      <c r="I151" t="s">
        <v>453</v>
      </c>
      <c r="J151" t="str">
        <f>VLOOKUP(A151,Klijenti!$A$1:$F$11,2,FALSE)</f>
        <v>Sofistikacija Doma</v>
      </c>
      <c r="K151" t="str">
        <f>VLOOKUP(A151,Klijenti!$A$1:$F$11,3,FALSE)</f>
        <v>Šumadija</v>
      </c>
    </row>
    <row r="152" spans="1:11">
      <c r="A152" s="5">
        <v>195</v>
      </c>
      <c r="B152" s="12">
        <v>45359</v>
      </c>
      <c r="C152" s="5">
        <v>466126</v>
      </c>
      <c r="D152" s="5" t="s">
        <v>87</v>
      </c>
      <c r="E152" s="5">
        <v>48</v>
      </c>
      <c r="F152" s="28" t="s">
        <v>289</v>
      </c>
      <c r="G152" t="str">
        <f>VLOOKUP(D152,Proizvodi!$A$1:$F$15,2,FALSE)</f>
        <v>Nameštaj za dnevnu sobu</v>
      </c>
      <c r="H152" t="str">
        <f>VLOOKUP(D152,Proizvodi!$A$1:$F$15,3,FALSE)</f>
        <v>Ormarić za TV</v>
      </c>
      <c r="I152" t="s">
        <v>452</v>
      </c>
      <c r="J152" t="str">
        <f>VLOOKUP(A152,Klijenti!$A$1:$F$11,2,FALSE)</f>
        <v>Moderni Dom</v>
      </c>
      <c r="K152" t="str">
        <f>VLOOKUP(A152,Klijenti!$A$1:$F$11,3,FALSE)</f>
        <v>Srbija</v>
      </c>
    </row>
    <row r="153" spans="1:11">
      <c r="A153" s="5">
        <v>186</v>
      </c>
      <c r="B153" s="12">
        <v>45378</v>
      </c>
      <c r="C153" s="5">
        <v>243994</v>
      </c>
      <c r="D153" s="5" t="s">
        <v>93</v>
      </c>
      <c r="E153" s="5">
        <v>19</v>
      </c>
      <c r="F153" s="28" t="s">
        <v>290</v>
      </c>
      <c r="G153" t="str">
        <f>VLOOKUP(D153,Proizvodi!$A$1:$F$15,2,FALSE)</f>
        <v>Nameštaj za dnevnu sobu</v>
      </c>
      <c r="H153" t="str">
        <f>VLOOKUP(D153,Proizvodi!$A$1:$F$15,3,FALSE)</f>
        <v>Rasklopiva fotelja</v>
      </c>
      <c r="I153" t="s">
        <v>455</v>
      </c>
      <c r="J153" t="str">
        <f>VLOOKUP(A153,Klijenti!$A$1:$F$11,2,FALSE)</f>
        <v>Kuća- Uređenje i Dizajn</v>
      </c>
      <c r="K153" t="str">
        <f>VLOOKUP(A153,Klijenti!$A$1:$F$11,3,FALSE)</f>
        <v>Beogradski region</v>
      </c>
    </row>
    <row r="154" spans="1:11">
      <c r="A154" s="5">
        <v>127</v>
      </c>
      <c r="B154" s="12">
        <v>45357</v>
      </c>
      <c r="C154" s="5">
        <v>171444</v>
      </c>
      <c r="D154" s="5" t="s">
        <v>95</v>
      </c>
      <c r="E154" s="5">
        <v>35</v>
      </c>
      <c r="F154" s="28" t="s">
        <v>291</v>
      </c>
      <c r="G154" t="str">
        <f>VLOOKUP(D154,Proizvodi!$A$1:$F$15,2,FALSE)</f>
        <v>Nameštaj za radnu sobu</v>
      </c>
      <c r="H154" t="str">
        <f>VLOOKUP(D154,Proizvodi!$A$1:$F$15,3,FALSE)</f>
        <v>Radni sto</v>
      </c>
      <c r="I154" t="s">
        <v>456</v>
      </c>
      <c r="J154" t="str">
        <f>VLOOKUP(A154,Klijenti!$A$1:$F$11,2,FALSE)</f>
        <v>Luksuzni Dizajn</v>
      </c>
      <c r="K154" t="str">
        <f>VLOOKUP(A154,Klijenti!$A$1:$F$11,3,FALSE)</f>
        <v>Vojvodina</v>
      </c>
    </row>
    <row r="155" spans="1:11">
      <c r="A155" s="5">
        <v>157</v>
      </c>
      <c r="B155" s="12">
        <v>45314</v>
      </c>
      <c r="C155" s="5">
        <v>688897</v>
      </c>
      <c r="D155" s="5" t="s">
        <v>76</v>
      </c>
      <c r="E155" s="5">
        <v>6</v>
      </c>
      <c r="F155" s="28" t="s">
        <v>292</v>
      </c>
      <c r="G155" t="str">
        <f>VLOOKUP(D155,Proizvodi!$A$1:$F$15,2,FALSE)</f>
        <v>Nameštaj za dnevnu sobu</v>
      </c>
      <c r="H155" t="str">
        <f>VLOOKUP(D155,Proizvodi!$A$1:$F$15,3,FALSE)</f>
        <v>Komoda</v>
      </c>
      <c r="I155" t="s">
        <v>454</v>
      </c>
      <c r="J155" t="str">
        <f>VLOOKUP(A155,Klijenti!$A$1:$F$11,2,FALSE)</f>
        <v>Stilski Stan</v>
      </c>
      <c r="K155" t="str">
        <f>VLOOKUP(A155,Klijenti!$A$1:$F$11,3,FALSE)</f>
        <v>Vojvodina i Beograd</v>
      </c>
    </row>
    <row r="156" spans="1:11">
      <c r="A156" s="5">
        <v>195</v>
      </c>
      <c r="B156" s="12">
        <v>45365</v>
      </c>
      <c r="C156" s="5">
        <v>466126</v>
      </c>
      <c r="D156" s="5" t="s">
        <v>87</v>
      </c>
      <c r="E156" s="5">
        <v>39</v>
      </c>
      <c r="F156" s="28" t="s">
        <v>293</v>
      </c>
      <c r="G156" t="str">
        <f>VLOOKUP(D156,Proizvodi!$A$1:$F$15,2,FALSE)</f>
        <v>Nameštaj za dnevnu sobu</v>
      </c>
      <c r="H156" t="str">
        <f>VLOOKUP(D156,Proizvodi!$A$1:$F$15,3,FALSE)</f>
        <v>Ormarić za TV</v>
      </c>
      <c r="I156" t="s">
        <v>452</v>
      </c>
      <c r="J156" t="str">
        <f>VLOOKUP(A156,Klijenti!$A$1:$F$11,2,FALSE)</f>
        <v>Moderni Dom</v>
      </c>
      <c r="K156" t="str">
        <f>VLOOKUP(A156,Klijenti!$A$1:$F$11,3,FALSE)</f>
        <v>Srbija</v>
      </c>
    </row>
    <row r="157" spans="1:11">
      <c r="A157" s="5">
        <v>179</v>
      </c>
      <c r="B157" s="12">
        <v>45353</v>
      </c>
      <c r="C157" s="5">
        <v>243994</v>
      </c>
      <c r="D157" s="5" t="s">
        <v>105</v>
      </c>
      <c r="E157" s="5">
        <v>6</v>
      </c>
      <c r="F157" s="28" t="s">
        <v>294</v>
      </c>
      <c r="G157" t="str">
        <f>VLOOKUP(D157,Proizvodi!$A$1:$F$15,2,FALSE)</f>
        <v>Trpezarija</v>
      </c>
      <c r="H157" t="str">
        <f>VLOOKUP(D157,Proizvodi!$A$1:$F$15,3,FALSE)</f>
        <v>Trpezarijski sto</v>
      </c>
      <c r="I157" t="s">
        <v>455</v>
      </c>
      <c r="J157" t="str">
        <f>VLOOKUP(A157,Klijenti!$A$1:$F$11,2,FALSE)</f>
        <v>Elegantni Enterijeri</v>
      </c>
      <c r="K157" t="str">
        <f>VLOOKUP(A157,Klijenti!$A$1:$F$11,3,FALSE)</f>
        <v>Južni i Šumadijski region</v>
      </c>
    </row>
    <row r="158" spans="1:11">
      <c r="A158" s="5">
        <v>108</v>
      </c>
      <c r="B158" s="12">
        <v>45327</v>
      </c>
      <c r="C158" s="5">
        <v>466126</v>
      </c>
      <c r="D158" s="5" t="s">
        <v>95</v>
      </c>
      <c r="E158" s="5">
        <v>33</v>
      </c>
      <c r="F158" s="28" t="s">
        <v>295</v>
      </c>
      <c r="G158" t="str">
        <f>VLOOKUP(D158,Proizvodi!$A$1:$F$15,2,FALSE)</f>
        <v>Nameštaj za radnu sobu</v>
      </c>
      <c r="H158" t="str">
        <f>VLOOKUP(D158,Proizvodi!$A$1:$F$15,3,FALSE)</f>
        <v>Radni sto</v>
      </c>
      <c r="I158" t="s">
        <v>452</v>
      </c>
      <c r="J158" t="str">
        <f>VLOOKUP(A158,Klijenti!$A$1:$F$11,2,FALSE)</f>
        <v>Dom &amp; Dekor</v>
      </c>
      <c r="K158" t="str">
        <f>VLOOKUP(A158,Klijenti!$A$1:$F$11,3,FALSE)</f>
        <v>Beogradski region</v>
      </c>
    </row>
    <row r="159" spans="1:11">
      <c r="A159" s="5">
        <v>195</v>
      </c>
      <c r="B159" s="12">
        <v>45366</v>
      </c>
      <c r="C159" s="5">
        <v>466126</v>
      </c>
      <c r="D159" s="5" t="s">
        <v>100</v>
      </c>
      <c r="E159" s="5">
        <v>17</v>
      </c>
      <c r="F159" s="28" t="s">
        <v>296</v>
      </c>
      <c r="G159" t="str">
        <f>VLOOKUP(D159,Proizvodi!$A$1:$F$15,2,FALSE)</f>
        <v>Trpezarija</v>
      </c>
      <c r="H159" t="str">
        <f>VLOOKUP(D159,Proizvodi!$A$1:$F$15,3,FALSE)</f>
        <v>Stolica za ručavanje</v>
      </c>
      <c r="I159" t="s">
        <v>452</v>
      </c>
      <c r="J159" t="str">
        <f>VLOOKUP(A159,Klijenti!$A$1:$F$11,2,FALSE)</f>
        <v>Moderni Dom</v>
      </c>
      <c r="K159" t="str">
        <f>VLOOKUP(A159,Klijenti!$A$1:$F$11,3,FALSE)</f>
        <v>Srbija</v>
      </c>
    </row>
    <row r="160" spans="1:11">
      <c r="A160" s="5">
        <v>179</v>
      </c>
      <c r="B160" s="12">
        <v>45354</v>
      </c>
      <c r="C160" s="5">
        <v>243994</v>
      </c>
      <c r="D160" s="5" t="s">
        <v>105</v>
      </c>
      <c r="E160" s="5">
        <v>9</v>
      </c>
      <c r="F160" s="28" t="s">
        <v>297</v>
      </c>
      <c r="G160" t="str">
        <f>VLOOKUP(D160,Proizvodi!$A$1:$F$15,2,FALSE)</f>
        <v>Trpezarija</v>
      </c>
      <c r="H160" t="str">
        <f>VLOOKUP(D160,Proizvodi!$A$1:$F$15,3,FALSE)</f>
        <v>Trpezarijski sto</v>
      </c>
      <c r="I160" t="s">
        <v>455</v>
      </c>
      <c r="J160" t="str">
        <f>VLOOKUP(A160,Klijenti!$A$1:$F$11,2,FALSE)</f>
        <v>Elegantni Enterijeri</v>
      </c>
      <c r="K160" t="str">
        <f>VLOOKUP(A160,Klijenti!$A$1:$F$11,3,FALSE)</f>
        <v>Južni i Šumadijski region</v>
      </c>
    </row>
    <row r="161" spans="1:11">
      <c r="A161" s="5">
        <v>153</v>
      </c>
      <c r="B161" s="12">
        <v>45336</v>
      </c>
      <c r="C161" s="5">
        <v>688897</v>
      </c>
      <c r="D161" s="5" t="s">
        <v>89</v>
      </c>
      <c r="E161" s="5">
        <v>5</v>
      </c>
      <c r="F161" s="28" t="s">
        <v>298</v>
      </c>
      <c r="G161" t="str">
        <f>VLOOKUP(D161,Proizvodi!$A$1:$F$15,2,FALSE)</f>
        <v>Nameštaj za dnevnu sobu</v>
      </c>
      <c r="H161" t="str">
        <f>VLOOKUP(D161,Proizvodi!$A$1:$F$15,3,FALSE)</f>
        <v>Ogledalo za zid</v>
      </c>
      <c r="I161" t="s">
        <v>454</v>
      </c>
      <c r="J161" t="str">
        <f>VLOOKUP(A161,Klijenti!$A$1:$F$11,2,FALSE)</f>
        <v>Udobni Kutak</v>
      </c>
      <c r="K161" t="str">
        <f>VLOOKUP(A161,Klijenti!$A$1:$F$11,3,FALSE)</f>
        <v>Južni region</v>
      </c>
    </row>
    <row r="162" spans="1:11">
      <c r="A162" s="5">
        <v>151</v>
      </c>
      <c r="B162" s="12">
        <v>45315</v>
      </c>
      <c r="C162" s="5">
        <v>443480</v>
      </c>
      <c r="D162" s="5" t="s">
        <v>87</v>
      </c>
      <c r="E162" s="5">
        <v>20</v>
      </c>
      <c r="F162" s="28" t="s">
        <v>299</v>
      </c>
      <c r="G162" t="str">
        <f>VLOOKUP(D162,Proizvodi!$A$1:$F$15,2,FALSE)</f>
        <v>Nameštaj za dnevnu sobu</v>
      </c>
      <c r="H162" t="str">
        <f>VLOOKUP(D162,Proizvodi!$A$1:$F$15,3,FALSE)</f>
        <v>Ormarić za TV</v>
      </c>
      <c r="I162" t="s">
        <v>453</v>
      </c>
      <c r="J162" t="str">
        <f>VLOOKUP(A162,Klijenti!$A$1:$F$11,2,FALSE)</f>
        <v>Estetski Kutak</v>
      </c>
      <c r="K162" t="str">
        <f>VLOOKUP(A162,Klijenti!$A$1:$F$11,3,FALSE)</f>
        <v>Srbija</v>
      </c>
    </row>
    <row r="163" spans="1:11">
      <c r="A163" s="5">
        <v>195</v>
      </c>
      <c r="B163" s="12">
        <v>45335</v>
      </c>
      <c r="C163" s="5">
        <v>466126</v>
      </c>
      <c r="D163" s="5" t="s">
        <v>79</v>
      </c>
      <c r="E163" s="5">
        <v>20</v>
      </c>
      <c r="F163" s="28" t="s">
        <v>300</v>
      </c>
      <c r="G163" t="str">
        <f>VLOOKUP(D163,Proizvodi!$A$1:$F$15,2,FALSE)</f>
        <v>Kuhinja</v>
      </c>
      <c r="H163" t="str">
        <f>VLOOKUP(D163,Proizvodi!$A$1:$F$15,3,FALSE)</f>
        <v>Kuhinjsko ostrvo</v>
      </c>
      <c r="I163" t="s">
        <v>452</v>
      </c>
      <c r="J163" t="str">
        <f>VLOOKUP(A163,Klijenti!$A$1:$F$11,2,FALSE)</f>
        <v>Moderni Dom</v>
      </c>
      <c r="K163" t="str">
        <f>VLOOKUP(A163,Klijenti!$A$1:$F$11,3,FALSE)</f>
        <v>Srbija</v>
      </c>
    </row>
    <row r="164" spans="1:11">
      <c r="A164" s="5">
        <v>195</v>
      </c>
      <c r="B164" s="12">
        <v>45298</v>
      </c>
      <c r="C164" s="5">
        <v>466126</v>
      </c>
      <c r="D164" s="5" t="s">
        <v>76</v>
      </c>
      <c r="E164" s="5">
        <v>50</v>
      </c>
      <c r="F164" s="28" t="s">
        <v>301</v>
      </c>
      <c r="G164" t="str">
        <f>VLOOKUP(D164,Proizvodi!$A$1:$F$15,2,FALSE)</f>
        <v>Nameštaj za dnevnu sobu</v>
      </c>
      <c r="H164" t="str">
        <f>VLOOKUP(D164,Proizvodi!$A$1:$F$15,3,FALSE)</f>
        <v>Komoda</v>
      </c>
      <c r="I164" t="s">
        <v>452</v>
      </c>
      <c r="J164" t="str">
        <f>VLOOKUP(A164,Klijenti!$A$1:$F$11,2,FALSE)</f>
        <v>Moderni Dom</v>
      </c>
      <c r="K164" t="str">
        <f>VLOOKUP(A164,Klijenti!$A$1:$F$11,3,FALSE)</f>
        <v>Srbija</v>
      </c>
    </row>
    <row r="165" spans="1:11">
      <c r="A165" s="5">
        <v>152</v>
      </c>
      <c r="B165" s="12">
        <v>45331</v>
      </c>
      <c r="C165" s="5">
        <v>171444</v>
      </c>
      <c r="D165" s="5" t="s">
        <v>87</v>
      </c>
      <c r="E165" s="5">
        <v>34</v>
      </c>
      <c r="F165" s="28" t="s">
        <v>302</v>
      </c>
      <c r="G165" t="str">
        <f>VLOOKUP(D165,Proizvodi!$A$1:$F$15,2,FALSE)</f>
        <v>Nameštaj za dnevnu sobu</v>
      </c>
      <c r="H165" t="str">
        <f>VLOOKUP(D165,Proizvodi!$A$1:$F$15,3,FALSE)</f>
        <v>Ormarić za TV</v>
      </c>
      <c r="I165" t="s">
        <v>456</v>
      </c>
      <c r="J165" t="str">
        <f>VLOOKUP(A165,Klijenti!$A$1:$F$11,2,FALSE)</f>
        <v>Prostor za Uživanje</v>
      </c>
      <c r="K165" t="str">
        <f>VLOOKUP(A165,Klijenti!$A$1:$F$11,3,FALSE)</f>
        <v>Srbija</v>
      </c>
    </row>
    <row r="166" spans="1:11">
      <c r="A166" s="5">
        <v>179</v>
      </c>
      <c r="B166" s="12">
        <v>45318</v>
      </c>
      <c r="C166" s="5">
        <v>243994</v>
      </c>
      <c r="D166" s="5" t="s">
        <v>103</v>
      </c>
      <c r="E166" s="5">
        <v>33</v>
      </c>
      <c r="F166" s="28" t="s">
        <v>303</v>
      </c>
      <c r="G166" t="str">
        <f>VLOOKUP(D166,Proizvodi!$A$1:$F$15,2,FALSE)</f>
        <v>Nameštaj za dnevnu sobu</v>
      </c>
      <c r="H166" t="str">
        <f>VLOOKUP(D166,Proizvodi!$A$1:$F$15,3,FALSE)</f>
        <v>Tabure</v>
      </c>
      <c r="I166" t="s">
        <v>455</v>
      </c>
      <c r="J166" t="str">
        <f>VLOOKUP(A166,Klijenti!$A$1:$F$11,2,FALSE)</f>
        <v>Elegantni Enterijeri</v>
      </c>
      <c r="K166" t="str">
        <f>VLOOKUP(A166,Klijenti!$A$1:$F$11,3,FALSE)</f>
        <v>Južni i Šumadijski region</v>
      </c>
    </row>
    <row r="167" spans="1:11">
      <c r="A167" s="5">
        <v>157</v>
      </c>
      <c r="B167" s="12">
        <v>45356</v>
      </c>
      <c r="C167" s="5">
        <v>688897</v>
      </c>
      <c r="D167" s="5" t="s">
        <v>100</v>
      </c>
      <c r="E167" s="5">
        <v>5</v>
      </c>
      <c r="F167" s="28" t="s">
        <v>304</v>
      </c>
      <c r="G167" t="str">
        <f>VLOOKUP(D167,Proizvodi!$A$1:$F$15,2,FALSE)</f>
        <v>Trpezarija</v>
      </c>
      <c r="H167" t="str">
        <f>VLOOKUP(D167,Proizvodi!$A$1:$F$15,3,FALSE)</f>
        <v>Stolica za ručavanje</v>
      </c>
      <c r="I167" t="s">
        <v>454</v>
      </c>
      <c r="J167" t="str">
        <f>VLOOKUP(A167,Klijenti!$A$1:$F$11,2,FALSE)</f>
        <v>Stilski Stan</v>
      </c>
      <c r="K167" t="str">
        <f>VLOOKUP(A167,Klijenti!$A$1:$F$11,3,FALSE)</f>
        <v>Vojvodina i Beograd</v>
      </c>
    </row>
    <row r="168" spans="1:11">
      <c r="A168" s="5">
        <v>186</v>
      </c>
      <c r="B168" s="12">
        <v>45303</v>
      </c>
      <c r="C168" s="5">
        <v>243994</v>
      </c>
      <c r="D168" s="5" t="s">
        <v>82</v>
      </c>
      <c r="E168" s="5">
        <v>20</v>
      </c>
      <c r="F168" s="28" t="s">
        <v>305</v>
      </c>
      <c r="G168" t="str">
        <f>VLOOKUP(D168,Proizvodi!$A$1:$F$15,2,FALSE)</f>
        <v>Nameštaj za dnevnu sobu</v>
      </c>
      <c r="H168" t="str">
        <f>VLOOKUP(D168,Proizvodi!$A$1:$F$15,3,FALSE)</f>
        <v>Klub sto</v>
      </c>
      <c r="I168" t="s">
        <v>455</v>
      </c>
      <c r="J168" t="str">
        <f>VLOOKUP(A168,Klijenti!$A$1:$F$11,2,FALSE)</f>
        <v>Kuća- Uređenje i Dizajn</v>
      </c>
      <c r="K168" t="str">
        <f>VLOOKUP(A168,Klijenti!$A$1:$F$11,3,FALSE)</f>
        <v>Beogradski region</v>
      </c>
    </row>
    <row r="169" spans="1:11">
      <c r="A169" s="5">
        <v>151</v>
      </c>
      <c r="B169" s="12">
        <v>45313</v>
      </c>
      <c r="C169" s="5">
        <v>443480</v>
      </c>
      <c r="D169" s="5" t="s">
        <v>91</v>
      </c>
      <c r="E169" s="5">
        <v>10</v>
      </c>
      <c r="F169" s="28" t="s">
        <v>306</v>
      </c>
      <c r="G169" t="str">
        <f>VLOOKUP(D169,Proizvodi!$A$1:$F$15,2,FALSE)</f>
        <v>Nameštaj za dnevnu sobu</v>
      </c>
      <c r="H169" t="str">
        <f>VLOOKUP(D169,Proizvodi!$A$1:$F$15,3,FALSE)</f>
        <v>Polica za knjige</v>
      </c>
      <c r="I169" t="s">
        <v>453</v>
      </c>
      <c r="J169" t="str">
        <f>VLOOKUP(A169,Klijenti!$A$1:$F$11,2,FALSE)</f>
        <v>Estetski Kutak</v>
      </c>
      <c r="K169" t="str">
        <f>VLOOKUP(A169,Klijenti!$A$1:$F$11,3,FALSE)</f>
        <v>Srbija</v>
      </c>
    </row>
    <row r="170" spans="1:11">
      <c r="A170" s="5">
        <v>179</v>
      </c>
      <c r="B170" s="12">
        <v>45323</v>
      </c>
      <c r="C170" s="5">
        <v>243994</v>
      </c>
      <c r="D170" s="5" t="s">
        <v>91</v>
      </c>
      <c r="E170" s="5">
        <v>50</v>
      </c>
      <c r="F170" s="28" t="s">
        <v>307</v>
      </c>
      <c r="G170" t="str">
        <f>VLOOKUP(D170,Proizvodi!$A$1:$F$15,2,FALSE)</f>
        <v>Nameštaj za dnevnu sobu</v>
      </c>
      <c r="H170" t="str">
        <f>VLOOKUP(D170,Proizvodi!$A$1:$F$15,3,FALSE)</f>
        <v>Polica za knjige</v>
      </c>
      <c r="I170" t="s">
        <v>455</v>
      </c>
      <c r="J170" t="str">
        <f>VLOOKUP(A170,Klijenti!$A$1:$F$11,2,FALSE)</f>
        <v>Elegantni Enterijeri</v>
      </c>
      <c r="K170" t="str">
        <f>VLOOKUP(A170,Klijenti!$A$1:$F$11,3,FALSE)</f>
        <v>Južni i Šumadijski region</v>
      </c>
    </row>
    <row r="171" spans="1:11">
      <c r="A171" s="5">
        <v>186</v>
      </c>
      <c r="B171" s="12">
        <v>45377</v>
      </c>
      <c r="C171" s="5">
        <v>243994</v>
      </c>
      <c r="D171" s="5" t="s">
        <v>93</v>
      </c>
      <c r="E171" s="5">
        <v>10</v>
      </c>
      <c r="F171" s="28" t="s">
        <v>308</v>
      </c>
      <c r="G171" t="str">
        <f>VLOOKUP(D171,Proizvodi!$A$1:$F$15,2,FALSE)</f>
        <v>Nameštaj za dnevnu sobu</v>
      </c>
      <c r="H171" t="str">
        <f>VLOOKUP(D171,Proizvodi!$A$1:$F$15,3,FALSE)</f>
        <v>Rasklopiva fotelja</v>
      </c>
      <c r="I171" t="s">
        <v>455</v>
      </c>
      <c r="J171" t="str">
        <f>VLOOKUP(A171,Klijenti!$A$1:$F$11,2,FALSE)</f>
        <v>Kuća- Uređenje i Dizajn</v>
      </c>
      <c r="K171" t="str">
        <f>VLOOKUP(A171,Klijenti!$A$1:$F$11,3,FALSE)</f>
        <v>Beogradski region</v>
      </c>
    </row>
    <row r="172" spans="1:11">
      <c r="A172" s="5">
        <v>152</v>
      </c>
      <c r="B172" s="12">
        <v>45330</v>
      </c>
      <c r="C172" s="5">
        <v>171444</v>
      </c>
      <c r="D172" s="5" t="s">
        <v>76</v>
      </c>
      <c r="E172" s="5">
        <v>3</v>
      </c>
      <c r="F172" s="28" t="s">
        <v>309</v>
      </c>
      <c r="G172" t="str">
        <f>VLOOKUP(D172,Proizvodi!$A$1:$F$15,2,FALSE)</f>
        <v>Nameštaj za dnevnu sobu</v>
      </c>
      <c r="H172" t="str">
        <f>VLOOKUP(D172,Proizvodi!$A$1:$F$15,3,FALSE)</f>
        <v>Komoda</v>
      </c>
      <c r="I172" t="s">
        <v>456</v>
      </c>
      <c r="J172" t="str">
        <f>VLOOKUP(A172,Klijenti!$A$1:$F$11,2,FALSE)</f>
        <v>Prostor za Uživanje</v>
      </c>
      <c r="K172" t="str">
        <f>VLOOKUP(A172,Klijenti!$A$1:$F$11,3,FALSE)</f>
        <v>Srbija</v>
      </c>
    </row>
    <row r="173" spans="1:11">
      <c r="A173" s="5">
        <v>127</v>
      </c>
      <c r="B173" s="12">
        <v>45312</v>
      </c>
      <c r="C173" s="5">
        <v>171444</v>
      </c>
      <c r="D173" s="5" t="s">
        <v>89</v>
      </c>
      <c r="E173" s="5">
        <v>25</v>
      </c>
      <c r="F173" s="28" t="s">
        <v>310</v>
      </c>
      <c r="G173" t="str">
        <f>VLOOKUP(D173,Proizvodi!$A$1:$F$15,2,FALSE)</f>
        <v>Nameštaj za dnevnu sobu</v>
      </c>
      <c r="H173" t="str">
        <f>VLOOKUP(D173,Proizvodi!$A$1:$F$15,3,FALSE)</f>
        <v>Ogledalo za zid</v>
      </c>
      <c r="I173" t="s">
        <v>456</v>
      </c>
      <c r="J173" t="str">
        <f>VLOOKUP(A173,Klijenti!$A$1:$F$11,2,FALSE)</f>
        <v>Luksuzni Dizajn</v>
      </c>
      <c r="K173" t="str">
        <f>VLOOKUP(A173,Klijenti!$A$1:$F$11,3,FALSE)</f>
        <v>Vojvodina</v>
      </c>
    </row>
    <row r="174" spans="1:11">
      <c r="A174" s="5">
        <v>157</v>
      </c>
      <c r="B174" s="12">
        <v>45296</v>
      </c>
      <c r="C174" s="5">
        <v>688897</v>
      </c>
      <c r="D174" s="5" t="s">
        <v>79</v>
      </c>
      <c r="E174" s="5">
        <v>18</v>
      </c>
      <c r="F174" s="28" t="s">
        <v>311</v>
      </c>
      <c r="G174" t="str">
        <f>VLOOKUP(D174,Proizvodi!$A$1:$F$15,2,FALSE)</f>
        <v>Kuhinja</v>
      </c>
      <c r="H174" t="str">
        <f>VLOOKUP(D174,Proizvodi!$A$1:$F$15,3,FALSE)</f>
        <v>Kuhinjsko ostrvo</v>
      </c>
      <c r="I174" t="s">
        <v>454</v>
      </c>
      <c r="J174" t="str">
        <f>VLOOKUP(A174,Klijenti!$A$1:$F$11,2,FALSE)</f>
        <v>Stilski Stan</v>
      </c>
      <c r="K174" t="str">
        <f>VLOOKUP(A174,Klijenti!$A$1:$F$11,3,FALSE)</f>
        <v>Vojvodina i Beograd</v>
      </c>
    </row>
    <row r="175" spans="1:11">
      <c r="A175" s="5">
        <v>108</v>
      </c>
      <c r="B175" s="12">
        <v>45317</v>
      </c>
      <c r="C175" s="5">
        <v>466126</v>
      </c>
      <c r="D175" s="5" t="s">
        <v>89</v>
      </c>
      <c r="E175" s="5">
        <v>24</v>
      </c>
      <c r="F175" s="28" t="s">
        <v>312</v>
      </c>
      <c r="G175" t="str">
        <f>VLOOKUP(D175,Proizvodi!$A$1:$F$15,2,FALSE)</f>
        <v>Nameštaj za dnevnu sobu</v>
      </c>
      <c r="H175" t="str">
        <f>VLOOKUP(D175,Proizvodi!$A$1:$F$15,3,FALSE)</f>
        <v>Ogledalo za zid</v>
      </c>
      <c r="I175" t="s">
        <v>452</v>
      </c>
      <c r="J175" t="str">
        <f>VLOOKUP(A175,Klijenti!$A$1:$F$11,2,FALSE)</f>
        <v>Dom &amp; Dekor</v>
      </c>
      <c r="K175" t="str">
        <f>VLOOKUP(A175,Klijenti!$A$1:$F$11,3,FALSE)</f>
        <v>Beogradski region</v>
      </c>
    </row>
    <row r="176" spans="1:11">
      <c r="A176" s="5">
        <v>186</v>
      </c>
      <c r="B176" s="12">
        <v>45309</v>
      </c>
      <c r="C176" s="5">
        <v>243994</v>
      </c>
      <c r="D176" s="5" t="s">
        <v>107</v>
      </c>
      <c r="E176" s="5">
        <v>37</v>
      </c>
      <c r="F176" s="28" t="s">
        <v>313</v>
      </c>
      <c r="G176" t="str">
        <f>VLOOKUP(D176,Proizvodi!$A$1:$F$15,2,FALSE)</f>
        <v>Kuhinja</v>
      </c>
      <c r="H176" t="str">
        <f>VLOOKUP(D176,Proizvodi!$A$1:$F$15,3,FALSE)</f>
        <v>Viseća polica</v>
      </c>
      <c r="I176" t="s">
        <v>455</v>
      </c>
      <c r="J176" t="str">
        <f>VLOOKUP(A176,Klijenti!$A$1:$F$11,2,FALSE)</f>
        <v>Kuća- Uređenje i Dizajn</v>
      </c>
      <c r="K176" t="str">
        <f>VLOOKUP(A176,Klijenti!$A$1:$F$11,3,FALSE)</f>
        <v>Beogradski region</v>
      </c>
    </row>
    <row r="177" spans="1:11">
      <c r="A177" s="5">
        <v>179</v>
      </c>
      <c r="B177" s="12">
        <v>45304</v>
      </c>
      <c r="C177" s="5">
        <v>243994</v>
      </c>
      <c r="D177" s="5" t="s">
        <v>76</v>
      </c>
      <c r="E177" s="5">
        <v>6</v>
      </c>
      <c r="F177" s="28" t="s">
        <v>314</v>
      </c>
      <c r="G177" t="str">
        <f>VLOOKUP(D177,Proizvodi!$A$1:$F$15,2,FALSE)</f>
        <v>Nameštaj za dnevnu sobu</v>
      </c>
      <c r="H177" t="str">
        <f>VLOOKUP(D177,Proizvodi!$A$1:$F$15,3,FALSE)</f>
        <v>Komoda</v>
      </c>
      <c r="I177" t="s">
        <v>455</v>
      </c>
      <c r="J177" t="str">
        <f>VLOOKUP(A177,Klijenti!$A$1:$F$11,2,FALSE)</f>
        <v>Elegantni Enterijeri</v>
      </c>
      <c r="K177" t="str">
        <f>VLOOKUP(A177,Klijenti!$A$1:$F$11,3,FALSE)</f>
        <v>Južni i Šumadijski region</v>
      </c>
    </row>
    <row r="178" spans="1:11">
      <c r="A178" s="5">
        <v>127</v>
      </c>
      <c r="B178" s="12">
        <v>45293</v>
      </c>
      <c r="C178" s="5">
        <v>171444</v>
      </c>
      <c r="D178" s="5" t="s">
        <v>82</v>
      </c>
      <c r="E178" s="5">
        <v>24</v>
      </c>
      <c r="F178" s="28" t="s">
        <v>315</v>
      </c>
      <c r="G178" t="str">
        <f>VLOOKUP(D178,Proizvodi!$A$1:$F$15,2,FALSE)</f>
        <v>Nameštaj za dnevnu sobu</v>
      </c>
      <c r="H178" t="str">
        <f>VLOOKUP(D178,Proizvodi!$A$1:$F$15,3,FALSE)</f>
        <v>Klub sto</v>
      </c>
      <c r="I178" t="s">
        <v>456</v>
      </c>
      <c r="J178" t="str">
        <f>VLOOKUP(A178,Klijenti!$A$1:$F$11,2,FALSE)</f>
        <v>Luksuzni Dizajn</v>
      </c>
      <c r="K178" t="str">
        <f>VLOOKUP(A178,Klijenti!$A$1:$F$11,3,FALSE)</f>
        <v>Vojvodina</v>
      </c>
    </row>
    <row r="179" spans="1:11">
      <c r="A179" s="5">
        <v>195</v>
      </c>
      <c r="B179" s="12">
        <v>45341</v>
      </c>
      <c r="C179" s="5">
        <v>443480</v>
      </c>
      <c r="D179" s="5" t="s">
        <v>91</v>
      </c>
      <c r="E179" s="5">
        <v>20</v>
      </c>
      <c r="F179" s="28" t="s">
        <v>316</v>
      </c>
      <c r="G179" t="str">
        <f>VLOOKUP(D179,Proizvodi!$A$1:$F$15,2,FALSE)</f>
        <v>Nameštaj za dnevnu sobu</v>
      </c>
      <c r="H179" t="str">
        <f>VLOOKUP(D179,Proizvodi!$A$1:$F$15,3,FALSE)</f>
        <v>Polica za knjige</v>
      </c>
      <c r="I179" t="s">
        <v>453</v>
      </c>
      <c r="J179" t="str">
        <f>VLOOKUP(A179,Klijenti!$A$1:$F$11,2,FALSE)</f>
        <v>Moderni Dom</v>
      </c>
      <c r="K179" t="str">
        <f>VLOOKUP(A179,Klijenti!$A$1:$F$11,3,FALSE)</f>
        <v>Srbija</v>
      </c>
    </row>
    <row r="180" spans="1:11">
      <c r="A180" s="5">
        <v>108</v>
      </c>
      <c r="B180" s="12">
        <v>45363</v>
      </c>
      <c r="C180" s="5">
        <v>466126</v>
      </c>
      <c r="D180" s="5" t="s">
        <v>82</v>
      </c>
      <c r="E180" s="5">
        <v>2</v>
      </c>
      <c r="F180" s="28" t="s">
        <v>317</v>
      </c>
      <c r="G180" t="str">
        <f>VLOOKUP(D180,Proizvodi!$A$1:$F$15,2,FALSE)</f>
        <v>Nameštaj za dnevnu sobu</v>
      </c>
      <c r="H180" t="str">
        <f>VLOOKUP(D180,Proizvodi!$A$1:$F$15,3,FALSE)</f>
        <v>Klub sto</v>
      </c>
      <c r="I180" t="s">
        <v>452</v>
      </c>
      <c r="J180" t="str">
        <f>VLOOKUP(A180,Klijenti!$A$1:$F$11,2,FALSE)</f>
        <v>Dom &amp; Dekor</v>
      </c>
      <c r="K180" t="str">
        <f>VLOOKUP(A180,Klijenti!$A$1:$F$11,3,FALSE)</f>
        <v>Beogradski region</v>
      </c>
    </row>
    <row r="181" spans="1:11">
      <c r="A181" s="5">
        <v>179</v>
      </c>
      <c r="B181" s="12">
        <v>45334</v>
      </c>
      <c r="C181" s="5">
        <v>243994</v>
      </c>
      <c r="D181" s="5" t="s">
        <v>87</v>
      </c>
      <c r="E181" s="5">
        <v>5</v>
      </c>
      <c r="F181" s="28" t="s">
        <v>318</v>
      </c>
      <c r="G181" t="str">
        <f>VLOOKUP(D181,Proizvodi!$A$1:$F$15,2,FALSE)</f>
        <v>Nameštaj za dnevnu sobu</v>
      </c>
      <c r="H181" t="str">
        <f>VLOOKUP(D181,Proizvodi!$A$1:$F$15,3,FALSE)</f>
        <v>Ormarić za TV</v>
      </c>
      <c r="I181" t="s">
        <v>455</v>
      </c>
      <c r="J181" t="str">
        <f>VLOOKUP(A181,Klijenti!$A$1:$F$11,2,FALSE)</f>
        <v>Elegantni Enterijeri</v>
      </c>
      <c r="K181" t="str">
        <f>VLOOKUP(A181,Klijenti!$A$1:$F$11,3,FALSE)</f>
        <v>Južni i Šumadijski region</v>
      </c>
    </row>
    <row r="182" spans="1:11">
      <c r="A182" s="5">
        <v>195</v>
      </c>
      <c r="B182" s="12">
        <v>45338</v>
      </c>
      <c r="C182" s="5">
        <v>466126</v>
      </c>
      <c r="D182" s="5" t="s">
        <v>103</v>
      </c>
      <c r="E182" s="5">
        <v>45</v>
      </c>
      <c r="F182" s="28" t="s">
        <v>319</v>
      </c>
      <c r="G182" t="str">
        <f>VLOOKUP(D182,Proizvodi!$A$1:$F$15,2,FALSE)</f>
        <v>Nameštaj za dnevnu sobu</v>
      </c>
      <c r="H182" t="str">
        <f>VLOOKUP(D182,Proizvodi!$A$1:$F$15,3,FALSE)</f>
        <v>Tabure</v>
      </c>
      <c r="I182" t="s">
        <v>452</v>
      </c>
      <c r="J182" t="str">
        <f>VLOOKUP(A182,Klijenti!$A$1:$F$11,2,FALSE)</f>
        <v>Moderni Dom</v>
      </c>
      <c r="K182" t="str">
        <f>VLOOKUP(A182,Klijenti!$A$1:$F$11,3,FALSE)</f>
        <v>Srbija</v>
      </c>
    </row>
    <row r="183" spans="1:11">
      <c r="A183" s="5">
        <v>153</v>
      </c>
      <c r="B183" s="12">
        <v>45343</v>
      </c>
      <c r="C183" s="5">
        <v>688897</v>
      </c>
      <c r="D183" s="5" t="s">
        <v>98</v>
      </c>
      <c r="E183" s="5">
        <v>16</v>
      </c>
      <c r="F183" s="28" t="s">
        <v>320</v>
      </c>
      <c r="G183" t="str">
        <f>VLOOKUP(D183,Proizvodi!$A$1:$F$15,2,FALSE)</f>
        <v>Nameštaj za dnevnu sobu</v>
      </c>
      <c r="H183" t="str">
        <f>VLOOKUP(D183,Proizvodi!$A$1:$F$15,3,FALSE)</f>
        <v>Sofa</v>
      </c>
      <c r="I183" t="s">
        <v>454</v>
      </c>
      <c r="J183" t="str">
        <f>VLOOKUP(A183,Klijenti!$A$1:$F$11,2,FALSE)</f>
        <v>Udobni Kutak</v>
      </c>
      <c r="K183" t="str">
        <f>VLOOKUP(A183,Klijenti!$A$1:$F$11,3,FALSE)</f>
        <v>Južni region</v>
      </c>
    </row>
    <row r="184" spans="1:11">
      <c r="A184" s="5">
        <v>127</v>
      </c>
      <c r="B184" s="12">
        <v>45366</v>
      </c>
      <c r="C184" s="5">
        <v>171444</v>
      </c>
      <c r="D184" s="5" t="s">
        <v>98</v>
      </c>
      <c r="E184" s="5">
        <v>37</v>
      </c>
      <c r="F184" s="28" t="s">
        <v>321</v>
      </c>
      <c r="G184" t="str">
        <f>VLOOKUP(D184,Proizvodi!$A$1:$F$15,2,FALSE)</f>
        <v>Nameštaj za dnevnu sobu</v>
      </c>
      <c r="H184" t="str">
        <f>VLOOKUP(D184,Proizvodi!$A$1:$F$15,3,FALSE)</f>
        <v>Sofa</v>
      </c>
      <c r="I184" t="s">
        <v>456</v>
      </c>
      <c r="J184" t="str">
        <f>VLOOKUP(A184,Klijenti!$A$1:$F$11,2,FALSE)</f>
        <v>Luksuzni Dizajn</v>
      </c>
      <c r="K184" t="str">
        <f>VLOOKUP(A184,Klijenti!$A$1:$F$11,3,FALSE)</f>
        <v>Vojvodina</v>
      </c>
    </row>
    <row r="185" spans="1:11">
      <c r="A185" s="5">
        <v>186</v>
      </c>
      <c r="B185" s="12">
        <v>45295</v>
      </c>
      <c r="C185" s="5">
        <v>171444</v>
      </c>
      <c r="D185" s="5" t="s">
        <v>84</v>
      </c>
      <c r="E185" s="5">
        <v>2</v>
      </c>
      <c r="F185" s="28" t="s">
        <v>322</v>
      </c>
      <c r="G185" t="str">
        <f>VLOOKUP(D185,Proizvodi!$A$1:$F$15,2,FALSE)</f>
        <v>Nameštaj za spavaću sobu</v>
      </c>
      <c r="H185" t="str">
        <f>VLOOKUP(D185,Proizvodi!$A$1:$F$15,3,FALSE)</f>
        <v>Noćni ormarić</v>
      </c>
      <c r="I185" t="s">
        <v>456</v>
      </c>
      <c r="J185" t="str">
        <f>VLOOKUP(A185,Klijenti!$A$1:$F$11,2,FALSE)</f>
        <v>Kuća- Uređenje i Dizajn</v>
      </c>
      <c r="K185" t="str">
        <f>VLOOKUP(A185,Klijenti!$A$1:$F$11,3,FALSE)</f>
        <v>Beogradski region</v>
      </c>
    </row>
    <row r="186" spans="1:11">
      <c r="A186" s="5">
        <v>179</v>
      </c>
      <c r="B186" s="12">
        <v>45303</v>
      </c>
      <c r="C186" s="5">
        <v>243994</v>
      </c>
      <c r="D186" s="5" t="s">
        <v>87</v>
      </c>
      <c r="E186" s="5">
        <v>31</v>
      </c>
      <c r="F186" s="28" t="s">
        <v>323</v>
      </c>
      <c r="G186" t="str">
        <f>VLOOKUP(D186,Proizvodi!$A$1:$F$15,2,FALSE)</f>
        <v>Nameštaj za dnevnu sobu</v>
      </c>
      <c r="H186" t="str">
        <f>VLOOKUP(D186,Proizvodi!$A$1:$F$15,3,FALSE)</f>
        <v>Ormarić za TV</v>
      </c>
      <c r="I186" t="s">
        <v>455</v>
      </c>
      <c r="J186" t="str">
        <f>VLOOKUP(A186,Klijenti!$A$1:$F$11,2,FALSE)</f>
        <v>Elegantni Enterijeri</v>
      </c>
      <c r="K186" t="str">
        <f>VLOOKUP(A186,Klijenti!$A$1:$F$11,3,FALSE)</f>
        <v>Južni i Šumadijski region</v>
      </c>
    </row>
    <row r="187" spans="1:11">
      <c r="A187" s="5">
        <v>151</v>
      </c>
      <c r="B187" s="12">
        <v>45380</v>
      </c>
      <c r="C187" s="5">
        <v>443480</v>
      </c>
      <c r="D187" s="5" t="s">
        <v>87</v>
      </c>
      <c r="E187" s="5">
        <v>14</v>
      </c>
      <c r="F187" s="28" t="s">
        <v>324</v>
      </c>
      <c r="G187" t="str">
        <f>VLOOKUP(D187,Proizvodi!$A$1:$F$15,2,FALSE)</f>
        <v>Nameštaj za dnevnu sobu</v>
      </c>
      <c r="H187" t="str">
        <f>VLOOKUP(D187,Proizvodi!$A$1:$F$15,3,FALSE)</f>
        <v>Ormarić za TV</v>
      </c>
      <c r="I187" t="s">
        <v>453</v>
      </c>
      <c r="J187" t="str">
        <f>VLOOKUP(A187,Klijenti!$A$1:$F$11,2,FALSE)</f>
        <v>Estetski Kutak</v>
      </c>
      <c r="K187" t="str">
        <f>VLOOKUP(A187,Klijenti!$A$1:$F$11,3,FALSE)</f>
        <v>Srbija</v>
      </c>
    </row>
    <row r="188" spans="1:11">
      <c r="A188" s="5">
        <v>127</v>
      </c>
      <c r="B188" s="12">
        <v>45359</v>
      </c>
      <c r="C188" s="5">
        <v>171444</v>
      </c>
      <c r="D188" s="5" t="s">
        <v>95</v>
      </c>
      <c r="E188" s="5">
        <v>5</v>
      </c>
      <c r="F188" s="28" t="s">
        <v>325</v>
      </c>
      <c r="G188" t="str">
        <f>VLOOKUP(D188,Proizvodi!$A$1:$F$15,2,FALSE)</f>
        <v>Nameštaj za radnu sobu</v>
      </c>
      <c r="H188" t="str">
        <f>VLOOKUP(D188,Proizvodi!$A$1:$F$15,3,FALSE)</f>
        <v>Radni sto</v>
      </c>
      <c r="I188" t="s">
        <v>456</v>
      </c>
      <c r="J188" t="str">
        <f>VLOOKUP(A188,Klijenti!$A$1:$F$11,2,FALSE)</f>
        <v>Luksuzni Dizajn</v>
      </c>
      <c r="K188" t="str">
        <f>VLOOKUP(A188,Klijenti!$A$1:$F$11,3,FALSE)</f>
        <v>Vojvodina</v>
      </c>
    </row>
    <row r="189" spans="1:11">
      <c r="A189" s="5">
        <v>195</v>
      </c>
      <c r="B189" s="12">
        <v>45372</v>
      </c>
      <c r="C189" s="5">
        <v>466126</v>
      </c>
      <c r="D189" s="5" t="s">
        <v>103</v>
      </c>
      <c r="E189" s="5">
        <v>9</v>
      </c>
      <c r="F189" s="28" t="s">
        <v>326</v>
      </c>
      <c r="G189" t="str">
        <f>VLOOKUP(D189,Proizvodi!$A$1:$F$15,2,FALSE)</f>
        <v>Nameštaj za dnevnu sobu</v>
      </c>
      <c r="H189" t="str">
        <f>VLOOKUP(D189,Proizvodi!$A$1:$F$15,3,FALSE)</f>
        <v>Tabure</v>
      </c>
      <c r="I189" t="s">
        <v>452</v>
      </c>
      <c r="J189" t="str">
        <f>VLOOKUP(A189,Klijenti!$A$1:$F$11,2,FALSE)</f>
        <v>Moderni Dom</v>
      </c>
      <c r="K189" t="str">
        <f>VLOOKUP(A189,Klijenti!$A$1:$F$11,3,FALSE)</f>
        <v>Srbija</v>
      </c>
    </row>
    <row r="190" spans="1:11">
      <c r="A190" s="5">
        <v>186</v>
      </c>
      <c r="B190" s="12">
        <v>45329</v>
      </c>
      <c r="C190" s="5">
        <v>243994</v>
      </c>
      <c r="D190" s="5" t="s">
        <v>84</v>
      </c>
      <c r="E190" s="5">
        <v>32</v>
      </c>
      <c r="F190" s="28" t="s">
        <v>327</v>
      </c>
      <c r="G190" t="str">
        <f>VLOOKUP(D190,Proizvodi!$A$1:$F$15,2,FALSE)</f>
        <v>Nameštaj za spavaću sobu</v>
      </c>
      <c r="H190" t="str">
        <f>VLOOKUP(D190,Proizvodi!$A$1:$F$15,3,FALSE)</f>
        <v>Noćni ormarić</v>
      </c>
      <c r="I190" t="s">
        <v>455</v>
      </c>
      <c r="J190" t="str">
        <f>VLOOKUP(A190,Klijenti!$A$1:$F$11,2,FALSE)</f>
        <v>Kuća- Uređenje i Dizajn</v>
      </c>
      <c r="K190" t="str">
        <f>VLOOKUP(A190,Klijenti!$A$1:$F$11,3,FALSE)</f>
        <v>Beogradski region</v>
      </c>
    </row>
    <row r="191" spans="1:11">
      <c r="A191" s="5">
        <v>157</v>
      </c>
      <c r="B191" s="12">
        <v>45304</v>
      </c>
      <c r="C191" s="5">
        <v>688897</v>
      </c>
      <c r="D191" s="5" t="s">
        <v>100</v>
      </c>
      <c r="E191" s="5">
        <v>40</v>
      </c>
      <c r="F191" s="28" t="s">
        <v>328</v>
      </c>
      <c r="G191" t="str">
        <f>VLOOKUP(D191,Proizvodi!$A$1:$F$15,2,FALSE)</f>
        <v>Trpezarija</v>
      </c>
      <c r="H191" t="str">
        <f>VLOOKUP(D191,Proizvodi!$A$1:$F$15,3,FALSE)</f>
        <v>Stolica za ručavanje</v>
      </c>
      <c r="I191" t="s">
        <v>454</v>
      </c>
      <c r="J191" t="str">
        <f>VLOOKUP(A191,Klijenti!$A$1:$F$11,2,FALSE)</f>
        <v>Stilski Stan</v>
      </c>
      <c r="K191" t="str">
        <f>VLOOKUP(A191,Klijenti!$A$1:$F$11,3,FALSE)</f>
        <v>Vojvodina i Beograd</v>
      </c>
    </row>
    <row r="192" spans="1:11">
      <c r="A192" s="5">
        <v>163</v>
      </c>
      <c r="B192" s="12">
        <v>45302</v>
      </c>
      <c r="C192" s="5">
        <v>443480</v>
      </c>
      <c r="D192" s="5" t="s">
        <v>89</v>
      </c>
      <c r="E192" s="5">
        <v>37</v>
      </c>
      <c r="F192" s="28" t="s">
        <v>329</v>
      </c>
      <c r="G192" t="str">
        <f>VLOOKUP(D192,Proizvodi!$A$1:$F$15,2,FALSE)</f>
        <v>Nameštaj za dnevnu sobu</v>
      </c>
      <c r="H192" t="str">
        <f>VLOOKUP(D192,Proizvodi!$A$1:$F$15,3,FALSE)</f>
        <v>Ogledalo za zid</v>
      </c>
      <c r="I192" t="s">
        <v>453</v>
      </c>
      <c r="J192" t="str">
        <f>VLOOKUP(A192,Klijenti!$A$1:$F$11,2,FALSE)</f>
        <v>Sofistikacija Doma</v>
      </c>
      <c r="K192" t="str">
        <f>VLOOKUP(A192,Klijenti!$A$1:$F$11,3,FALSE)</f>
        <v>Šumadija</v>
      </c>
    </row>
    <row r="193" spans="1:11">
      <c r="A193" s="5">
        <v>153</v>
      </c>
      <c r="B193" s="12">
        <v>45305</v>
      </c>
      <c r="C193" s="5">
        <v>688897</v>
      </c>
      <c r="D193" s="5" t="s">
        <v>95</v>
      </c>
      <c r="E193" s="5">
        <v>45</v>
      </c>
      <c r="F193" s="28" t="s">
        <v>330</v>
      </c>
      <c r="G193" t="str">
        <f>VLOOKUP(D193,Proizvodi!$A$1:$F$15,2,FALSE)</f>
        <v>Nameštaj za radnu sobu</v>
      </c>
      <c r="H193" t="str">
        <f>VLOOKUP(D193,Proizvodi!$A$1:$F$15,3,FALSE)</f>
        <v>Radni sto</v>
      </c>
      <c r="I193" t="s">
        <v>454</v>
      </c>
      <c r="J193" t="str">
        <f>VLOOKUP(A193,Klijenti!$A$1:$F$11,2,FALSE)</f>
        <v>Udobni Kutak</v>
      </c>
      <c r="K193" t="str">
        <f>VLOOKUP(A193,Klijenti!$A$1:$F$11,3,FALSE)</f>
        <v>Južni region</v>
      </c>
    </row>
    <row r="194" spans="1:11">
      <c r="A194" s="5">
        <v>153</v>
      </c>
      <c r="B194" s="12">
        <v>45323</v>
      </c>
      <c r="C194" s="5">
        <v>688897</v>
      </c>
      <c r="D194" s="5" t="s">
        <v>93</v>
      </c>
      <c r="E194" s="5">
        <v>26</v>
      </c>
      <c r="F194" s="28" t="s">
        <v>331</v>
      </c>
      <c r="G194" t="str">
        <f>VLOOKUP(D194,Proizvodi!$A$1:$F$15,2,FALSE)</f>
        <v>Nameštaj za dnevnu sobu</v>
      </c>
      <c r="H194" t="str">
        <f>VLOOKUP(D194,Proizvodi!$A$1:$F$15,3,FALSE)</f>
        <v>Rasklopiva fotelja</v>
      </c>
      <c r="I194" t="s">
        <v>454</v>
      </c>
      <c r="J194" t="str">
        <f>VLOOKUP(A194,Klijenti!$A$1:$F$11,2,FALSE)</f>
        <v>Udobni Kutak</v>
      </c>
      <c r="K194" t="str">
        <f>VLOOKUP(A194,Klijenti!$A$1:$F$11,3,FALSE)</f>
        <v>Južni region</v>
      </c>
    </row>
    <row r="195" spans="1:11">
      <c r="A195" s="5">
        <v>127</v>
      </c>
      <c r="B195" s="12">
        <v>45356</v>
      </c>
      <c r="C195" s="5">
        <v>171444</v>
      </c>
      <c r="D195" s="5" t="s">
        <v>82</v>
      </c>
      <c r="E195" s="5">
        <v>18</v>
      </c>
      <c r="F195" s="28" t="s">
        <v>332</v>
      </c>
      <c r="G195" t="str">
        <f>VLOOKUP(D195,Proizvodi!$A$1:$F$15,2,FALSE)</f>
        <v>Nameštaj za dnevnu sobu</v>
      </c>
      <c r="H195" t="str">
        <f>VLOOKUP(D195,Proizvodi!$A$1:$F$15,3,FALSE)</f>
        <v>Klub sto</v>
      </c>
      <c r="I195" t="s">
        <v>456</v>
      </c>
      <c r="J195" t="str">
        <f>VLOOKUP(A195,Klijenti!$A$1:$F$11,2,FALSE)</f>
        <v>Luksuzni Dizajn</v>
      </c>
      <c r="K195" t="str">
        <f>VLOOKUP(A195,Klijenti!$A$1:$F$11,3,FALSE)</f>
        <v>Vojvodina</v>
      </c>
    </row>
    <row r="196" spans="1:11">
      <c r="A196" s="5">
        <v>151</v>
      </c>
      <c r="B196" s="12">
        <v>45373</v>
      </c>
      <c r="C196" s="5">
        <v>443480</v>
      </c>
      <c r="D196" s="5" t="s">
        <v>76</v>
      </c>
      <c r="E196" s="5">
        <v>40</v>
      </c>
      <c r="F196" s="28" t="s">
        <v>333</v>
      </c>
      <c r="G196" t="str">
        <f>VLOOKUP(D196,Proizvodi!$A$1:$F$15,2,FALSE)</f>
        <v>Nameštaj za dnevnu sobu</v>
      </c>
      <c r="H196" t="str">
        <f>VLOOKUP(D196,Proizvodi!$A$1:$F$15,3,FALSE)</f>
        <v>Komoda</v>
      </c>
      <c r="I196" t="s">
        <v>453</v>
      </c>
      <c r="J196" t="str">
        <f>VLOOKUP(A196,Klijenti!$A$1:$F$11,2,FALSE)</f>
        <v>Estetski Kutak</v>
      </c>
      <c r="K196" t="str">
        <f>VLOOKUP(A196,Klijenti!$A$1:$F$11,3,FALSE)</f>
        <v>Srbija</v>
      </c>
    </row>
    <row r="197" spans="1:11">
      <c r="A197" s="5">
        <v>163</v>
      </c>
      <c r="B197" s="12">
        <v>45308</v>
      </c>
      <c r="C197" s="5">
        <v>443480</v>
      </c>
      <c r="D197" s="5" t="s">
        <v>84</v>
      </c>
      <c r="E197" s="5">
        <v>18</v>
      </c>
      <c r="F197" s="28" t="s">
        <v>334</v>
      </c>
      <c r="G197" t="str">
        <f>VLOOKUP(D197,Proizvodi!$A$1:$F$15,2,FALSE)</f>
        <v>Nameštaj za spavaću sobu</v>
      </c>
      <c r="H197" t="str">
        <f>VLOOKUP(D197,Proizvodi!$A$1:$F$15,3,FALSE)</f>
        <v>Noćni ormarić</v>
      </c>
      <c r="I197" t="s">
        <v>453</v>
      </c>
      <c r="J197" t="str">
        <f>VLOOKUP(A197,Klijenti!$A$1:$F$11,2,FALSE)</f>
        <v>Sofistikacija Doma</v>
      </c>
      <c r="K197" t="str">
        <f>VLOOKUP(A197,Klijenti!$A$1:$F$11,3,FALSE)</f>
        <v>Šumadija</v>
      </c>
    </row>
    <row r="198" spans="1:11">
      <c r="A198" s="5">
        <v>195</v>
      </c>
      <c r="B198" s="12">
        <v>45375</v>
      </c>
      <c r="C198" s="5">
        <v>466126</v>
      </c>
      <c r="D198" s="5" t="s">
        <v>100</v>
      </c>
      <c r="E198" s="5">
        <v>19</v>
      </c>
      <c r="F198" s="28" t="s">
        <v>335</v>
      </c>
      <c r="G198" t="str">
        <f>VLOOKUP(D198,Proizvodi!$A$1:$F$15,2,FALSE)</f>
        <v>Trpezarija</v>
      </c>
      <c r="H198" t="str">
        <f>VLOOKUP(D198,Proizvodi!$A$1:$F$15,3,FALSE)</f>
        <v>Stolica za ručavanje</v>
      </c>
      <c r="I198" t="s">
        <v>452</v>
      </c>
      <c r="J198" t="str">
        <f>VLOOKUP(A198,Klijenti!$A$1:$F$11,2,FALSE)</f>
        <v>Moderni Dom</v>
      </c>
      <c r="K198" t="str">
        <f>VLOOKUP(A198,Klijenti!$A$1:$F$11,3,FALSE)</f>
        <v>Srbija</v>
      </c>
    </row>
    <row r="199" spans="1:11">
      <c r="A199" s="5">
        <v>186</v>
      </c>
      <c r="B199" s="12">
        <v>45369</v>
      </c>
      <c r="C199" s="5">
        <v>243994</v>
      </c>
      <c r="D199" s="5" t="s">
        <v>98</v>
      </c>
      <c r="E199" s="5">
        <v>3</v>
      </c>
      <c r="F199" s="28" t="s">
        <v>336</v>
      </c>
      <c r="G199" t="str">
        <f>VLOOKUP(D199,Proizvodi!$A$1:$F$15,2,FALSE)</f>
        <v>Nameštaj za dnevnu sobu</v>
      </c>
      <c r="H199" t="str">
        <f>VLOOKUP(D199,Proizvodi!$A$1:$F$15,3,FALSE)</f>
        <v>Sofa</v>
      </c>
      <c r="I199" t="s">
        <v>455</v>
      </c>
      <c r="J199" t="str">
        <f>VLOOKUP(A199,Klijenti!$A$1:$F$11,2,FALSE)</f>
        <v>Kuća- Uređenje i Dizajn</v>
      </c>
      <c r="K199" t="str">
        <f>VLOOKUP(A199,Klijenti!$A$1:$F$11,3,FALSE)</f>
        <v>Beogradski region</v>
      </c>
    </row>
    <row r="200" spans="1:11">
      <c r="A200" s="5">
        <v>186</v>
      </c>
      <c r="B200" s="12">
        <v>45356</v>
      </c>
      <c r="C200" s="5">
        <v>243994</v>
      </c>
      <c r="D200" s="5" t="s">
        <v>95</v>
      </c>
      <c r="E200" s="5">
        <v>7</v>
      </c>
      <c r="F200" s="28" t="s">
        <v>337</v>
      </c>
      <c r="G200" t="str">
        <f>VLOOKUP(D200,Proizvodi!$A$1:$F$15,2,FALSE)</f>
        <v>Nameštaj za radnu sobu</v>
      </c>
      <c r="H200" t="str">
        <f>VLOOKUP(D200,Proizvodi!$A$1:$F$15,3,FALSE)</f>
        <v>Radni sto</v>
      </c>
      <c r="I200" t="s">
        <v>455</v>
      </c>
      <c r="J200" t="str">
        <f>VLOOKUP(A200,Klijenti!$A$1:$F$11,2,FALSE)</f>
        <v>Kuća- Uređenje i Dizajn</v>
      </c>
      <c r="K200" t="str">
        <f>VLOOKUP(A200,Klijenti!$A$1:$F$11,3,FALSE)</f>
        <v>Beogradski region</v>
      </c>
    </row>
    <row r="201" spans="1:11">
      <c r="A201" s="5">
        <v>163</v>
      </c>
      <c r="B201" s="12">
        <v>45380</v>
      </c>
      <c r="C201" s="5">
        <v>443480</v>
      </c>
      <c r="D201" s="5" t="s">
        <v>82</v>
      </c>
      <c r="E201" s="5">
        <v>17</v>
      </c>
      <c r="F201" s="28" t="s">
        <v>338</v>
      </c>
      <c r="G201" t="str">
        <f>VLOOKUP(D201,Proizvodi!$A$1:$F$15,2,FALSE)</f>
        <v>Nameštaj za dnevnu sobu</v>
      </c>
      <c r="H201" t="str">
        <f>VLOOKUP(D201,Proizvodi!$A$1:$F$15,3,FALSE)</f>
        <v>Klub sto</v>
      </c>
      <c r="I201" t="s">
        <v>453</v>
      </c>
      <c r="J201" t="str">
        <f>VLOOKUP(A201,Klijenti!$A$1:$F$11,2,FALSE)</f>
        <v>Sofistikacija Doma</v>
      </c>
      <c r="K201" t="str">
        <f>VLOOKUP(A201,Klijenti!$A$1:$F$11,3,FALSE)</f>
        <v>Šumadija</v>
      </c>
    </row>
    <row r="202" spans="1:11">
      <c r="A202" s="5">
        <v>195</v>
      </c>
      <c r="B202" s="12">
        <v>45343</v>
      </c>
      <c r="C202" s="5">
        <v>466126</v>
      </c>
      <c r="D202" s="5" t="s">
        <v>105</v>
      </c>
      <c r="E202" s="5">
        <v>45</v>
      </c>
      <c r="F202" s="28" t="s">
        <v>339</v>
      </c>
      <c r="G202" t="str">
        <f>VLOOKUP(D202,Proizvodi!$A$1:$F$15,2,FALSE)</f>
        <v>Trpezarija</v>
      </c>
      <c r="H202" t="str">
        <f>VLOOKUP(D202,Proizvodi!$A$1:$F$15,3,FALSE)</f>
        <v>Trpezarijski sto</v>
      </c>
      <c r="I202" t="s">
        <v>452</v>
      </c>
      <c r="J202" t="str">
        <f>VLOOKUP(A202,Klijenti!$A$1:$F$11,2,FALSE)</f>
        <v>Moderni Dom</v>
      </c>
      <c r="K202" t="str">
        <f>VLOOKUP(A202,Klijenti!$A$1:$F$11,3,FALSE)</f>
        <v>Srbija</v>
      </c>
    </row>
    <row r="203" spans="1:11">
      <c r="A203" s="5">
        <v>127</v>
      </c>
      <c r="B203" s="12">
        <v>45334</v>
      </c>
      <c r="C203" s="5">
        <v>171444</v>
      </c>
      <c r="D203" s="5" t="s">
        <v>107</v>
      </c>
      <c r="E203" s="5">
        <v>7</v>
      </c>
      <c r="F203" s="28" t="s">
        <v>340</v>
      </c>
      <c r="G203" t="str">
        <f>VLOOKUP(D203,Proizvodi!$A$1:$F$15,2,FALSE)</f>
        <v>Kuhinja</v>
      </c>
      <c r="H203" t="str">
        <f>VLOOKUP(D203,Proizvodi!$A$1:$F$15,3,FALSE)</f>
        <v>Viseća polica</v>
      </c>
      <c r="I203" t="s">
        <v>456</v>
      </c>
      <c r="J203" t="str">
        <f>VLOOKUP(A203,Klijenti!$A$1:$F$11,2,FALSE)</f>
        <v>Luksuzni Dizajn</v>
      </c>
      <c r="K203" t="str">
        <f>VLOOKUP(A203,Klijenti!$A$1:$F$11,3,FALSE)</f>
        <v>Vojvodina</v>
      </c>
    </row>
    <row r="204" spans="1:11">
      <c r="A204" s="5">
        <v>157</v>
      </c>
      <c r="B204" s="12">
        <v>45354</v>
      </c>
      <c r="C204" s="5">
        <v>688897</v>
      </c>
      <c r="D204" s="5" t="s">
        <v>103</v>
      </c>
      <c r="E204" s="5">
        <v>37</v>
      </c>
      <c r="F204" s="28" t="s">
        <v>341</v>
      </c>
      <c r="G204" t="str">
        <f>VLOOKUP(D204,Proizvodi!$A$1:$F$15,2,FALSE)</f>
        <v>Nameštaj za dnevnu sobu</v>
      </c>
      <c r="H204" t="str">
        <f>VLOOKUP(D204,Proizvodi!$A$1:$F$15,3,FALSE)</f>
        <v>Tabure</v>
      </c>
      <c r="I204" t="s">
        <v>454</v>
      </c>
      <c r="J204" t="str">
        <f>VLOOKUP(A204,Klijenti!$A$1:$F$11,2,FALSE)</f>
        <v>Stilski Stan</v>
      </c>
      <c r="K204" t="str">
        <f>VLOOKUP(A204,Klijenti!$A$1:$F$11,3,FALSE)</f>
        <v>Vojvodina i Beograd</v>
      </c>
    </row>
    <row r="205" spans="1:11">
      <c r="A205" s="5">
        <v>179</v>
      </c>
      <c r="B205" s="12">
        <v>45320</v>
      </c>
      <c r="C205" s="5">
        <v>243994</v>
      </c>
      <c r="D205" s="5" t="s">
        <v>76</v>
      </c>
      <c r="E205" s="5">
        <v>15</v>
      </c>
      <c r="F205" s="28" t="s">
        <v>342</v>
      </c>
      <c r="G205" t="str">
        <f>VLOOKUP(D205,Proizvodi!$A$1:$F$15,2,FALSE)</f>
        <v>Nameštaj za dnevnu sobu</v>
      </c>
      <c r="H205" t="str">
        <f>VLOOKUP(D205,Proizvodi!$A$1:$F$15,3,FALSE)</f>
        <v>Komoda</v>
      </c>
      <c r="I205" t="s">
        <v>455</v>
      </c>
      <c r="J205" t="str">
        <f>VLOOKUP(A205,Klijenti!$A$1:$F$11,2,FALSE)</f>
        <v>Elegantni Enterijeri</v>
      </c>
      <c r="K205" t="str">
        <f>VLOOKUP(A205,Klijenti!$A$1:$F$11,3,FALSE)</f>
        <v>Južni i Šumadijski region</v>
      </c>
    </row>
    <row r="206" spans="1:11">
      <c r="A206" s="5">
        <v>151</v>
      </c>
      <c r="B206" s="12">
        <v>45375</v>
      </c>
      <c r="C206" s="5">
        <v>443480</v>
      </c>
      <c r="D206" s="5" t="s">
        <v>76</v>
      </c>
      <c r="E206" s="5">
        <v>6</v>
      </c>
      <c r="F206" s="28" t="s">
        <v>343</v>
      </c>
      <c r="G206" t="str">
        <f>VLOOKUP(D206,Proizvodi!$A$1:$F$15,2,FALSE)</f>
        <v>Nameštaj za dnevnu sobu</v>
      </c>
      <c r="H206" t="str">
        <f>VLOOKUP(D206,Proizvodi!$A$1:$F$15,3,FALSE)</f>
        <v>Komoda</v>
      </c>
      <c r="I206" t="s">
        <v>453</v>
      </c>
      <c r="J206" t="str">
        <f>VLOOKUP(A206,Klijenti!$A$1:$F$11,2,FALSE)</f>
        <v>Estetski Kutak</v>
      </c>
      <c r="K206" t="str">
        <f>VLOOKUP(A206,Klijenti!$A$1:$F$11,3,FALSE)</f>
        <v>Srbija</v>
      </c>
    </row>
    <row r="207" spans="1:11">
      <c r="A207" s="5">
        <v>179</v>
      </c>
      <c r="B207" s="12">
        <v>45312</v>
      </c>
      <c r="C207" s="5">
        <v>243994</v>
      </c>
      <c r="D207" s="5" t="s">
        <v>103</v>
      </c>
      <c r="E207" s="5">
        <v>19</v>
      </c>
      <c r="F207" s="28" t="s">
        <v>344</v>
      </c>
      <c r="G207" t="str">
        <f>VLOOKUP(D207,Proizvodi!$A$1:$F$15,2,FALSE)</f>
        <v>Nameštaj za dnevnu sobu</v>
      </c>
      <c r="H207" t="str">
        <f>VLOOKUP(D207,Proizvodi!$A$1:$F$15,3,FALSE)</f>
        <v>Tabure</v>
      </c>
      <c r="I207" t="s">
        <v>455</v>
      </c>
      <c r="J207" t="str">
        <f>VLOOKUP(A207,Klijenti!$A$1:$F$11,2,FALSE)</f>
        <v>Elegantni Enterijeri</v>
      </c>
      <c r="K207" t="str">
        <f>VLOOKUP(A207,Klijenti!$A$1:$F$11,3,FALSE)</f>
        <v>Južni i Šumadijski region</v>
      </c>
    </row>
    <row r="208" spans="1:11">
      <c r="A208" s="5">
        <v>153</v>
      </c>
      <c r="B208" s="12">
        <v>45370</v>
      </c>
      <c r="C208" s="5">
        <v>688897</v>
      </c>
      <c r="D208" s="5" t="s">
        <v>84</v>
      </c>
      <c r="E208" s="5">
        <v>14</v>
      </c>
      <c r="F208" s="28" t="s">
        <v>345</v>
      </c>
      <c r="G208" t="str">
        <f>VLOOKUP(D208,Proizvodi!$A$1:$F$15,2,FALSE)</f>
        <v>Nameštaj za spavaću sobu</v>
      </c>
      <c r="H208" t="str">
        <f>VLOOKUP(D208,Proizvodi!$A$1:$F$15,3,FALSE)</f>
        <v>Noćni ormarić</v>
      </c>
      <c r="I208" t="s">
        <v>454</v>
      </c>
      <c r="J208" t="str">
        <f>VLOOKUP(A208,Klijenti!$A$1:$F$11,2,FALSE)</f>
        <v>Udobni Kutak</v>
      </c>
      <c r="K208" t="str">
        <f>VLOOKUP(A208,Klijenti!$A$1:$F$11,3,FALSE)</f>
        <v>Južni region</v>
      </c>
    </row>
    <row r="209" spans="1:11">
      <c r="A209" s="5">
        <v>195</v>
      </c>
      <c r="B209" s="12">
        <v>45341</v>
      </c>
      <c r="C209" s="5">
        <v>466126</v>
      </c>
      <c r="D209" s="5" t="s">
        <v>91</v>
      </c>
      <c r="E209" s="5">
        <v>5</v>
      </c>
      <c r="F209" s="28" t="s">
        <v>346</v>
      </c>
      <c r="G209" t="str">
        <f>VLOOKUP(D209,Proizvodi!$A$1:$F$15,2,FALSE)</f>
        <v>Nameštaj za dnevnu sobu</v>
      </c>
      <c r="H209" t="str">
        <f>VLOOKUP(D209,Proizvodi!$A$1:$F$15,3,FALSE)</f>
        <v>Polica za knjige</v>
      </c>
      <c r="I209" t="s">
        <v>452</v>
      </c>
      <c r="J209" t="str">
        <f>VLOOKUP(A209,Klijenti!$A$1:$F$11,2,FALSE)</f>
        <v>Moderni Dom</v>
      </c>
      <c r="K209" t="str">
        <f>VLOOKUP(A209,Klijenti!$A$1:$F$11,3,FALSE)</f>
        <v>Srbija</v>
      </c>
    </row>
    <row r="210" spans="1:11">
      <c r="A210" s="5">
        <v>157</v>
      </c>
      <c r="B210" s="12">
        <v>45353</v>
      </c>
      <c r="C210" s="5">
        <v>688897</v>
      </c>
      <c r="D210" s="5" t="s">
        <v>103</v>
      </c>
      <c r="E210" s="5">
        <v>21</v>
      </c>
      <c r="F210" s="28" t="s">
        <v>347</v>
      </c>
      <c r="G210" t="str">
        <f>VLOOKUP(D210,Proizvodi!$A$1:$F$15,2,FALSE)</f>
        <v>Nameštaj za dnevnu sobu</v>
      </c>
      <c r="H210" t="str">
        <f>VLOOKUP(D210,Proizvodi!$A$1:$F$15,3,FALSE)</f>
        <v>Tabure</v>
      </c>
      <c r="I210" t="s">
        <v>454</v>
      </c>
      <c r="J210" t="str">
        <f>VLOOKUP(A210,Klijenti!$A$1:$F$11,2,FALSE)</f>
        <v>Stilski Stan</v>
      </c>
      <c r="K210" t="str">
        <f>VLOOKUP(A210,Klijenti!$A$1:$F$11,3,FALSE)</f>
        <v>Vojvodina i Beograd</v>
      </c>
    </row>
    <row r="211" spans="1:11">
      <c r="A211" s="5">
        <v>108</v>
      </c>
      <c r="B211" s="12">
        <v>45362</v>
      </c>
      <c r="C211" s="5">
        <v>466126</v>
      </c>
      <c r="D211" s="5" t="s">
        <v>93</v>
      </c>
      <c r="E211" s="5">
        <v>23</v>
      </c>
      <c r="F211" s="28" t="s">
        <v>348</v>
      </c>
      <c r="G211" t="str">
        <f>VLOOKUP(D211,Proizvodi!$A$1:$F$15,2,FALSE)</f>
        <v>Nameštaj za dnevnu sobu</v>
      </c>
      <c r="H211" t="str">
        <f>VLOOKUP(D211,Proizvodi!$A$1:$F$15,3,FALSE)</f>
        <v>Rasklopiva fotelja</v>
      </c>
      <c r="I211" t="s">
        <v>452</v>
      </c>
      <c r="J211" t="str">
        <f>VLOOKUP(A211,Klijenti!$A$1:$F$11,2,FALSE)</f>
        <v>Dom &amp; Dekor</v>
      </c>
      <c r="K211" t="str">
        <f>VLOOKUP(A211,Klijenti!$A$1:$F$11,3,FALSE)</f>
        <v>Beogradski region</v>
      </c>
    </row>
    <row r="212" spans="1:11">
      <c r="A212" s="5">
        <v>186</v>
      </c>
      <c r="B212" s="12">
        <v>45367</v>
      </c>
      <c r="C212" s="5">
        <v>243994</v>
      </c>
      <c r="D212" s="5" t="s">
        <v>98</v>
      </c>
      <c r="E212" s="5">
        <v>30</v>
      </c>
      <c r="F212" s="28" t="s">
        <v>349</v>
      </c>
      <c r="G212" t="str">
        <f>VLOOKUP(D212,Proizvodi!$A$1:$F$15,2,FALSE)</f>
        <v>Nameštaj za dnevnu sobu</v>
      </c>
      <c r="H212" t="str">
        <f>VLOOKUP(D212,Proizvodi!$A$1:$F$15,3,FALSE)</f>
        <v>Sofa</v>
      </c>
      <c r="I212" t="s">
        <v>455</v>
      </c>
      <c r="J212" t="str">
        <f>VLOOKUP(A212,Klijenti!$A$1:$F$11,2,FALSE)</f>
        <v>Kuća- Uređenje i Dizajn</v>
      </c>
      <c r="K212" t="str">
        <f>VLOOKUP(A212,Klijenti!$A$1:$F$11,3,FALSE)</f>
        <v>Beogradski region</v>
      </c>
    </row>
    <row r="213" spans="1:11">
      <c r="A213" s="5">
        <v>108</v>
      </c>
      <c r="B213" s="12">
        <v>45337</v>
      </c>
      <c r="C213" s="5">
        <v>466126</v>
      </c>
      <c r="D213" s="5" t="s">
        <v>107</v>
      </c>
      <c r="E213" s="5">
        <v>35</v>
      </c>
      <c r="F213" s="28" t="s">
        <v>350</v>
      </c>
      <c r="G213" t="str">
        <f>VLOOKUP(D213,Proizvodi!$A$1:$F$15,2,FALSE)</f>
        <v>Kuhinja</v>
      </c>
      <c r="H213" t="str">
        <f>VLOOKUP(D213,Proizvodi!$A$1:$F$15,3,FALSE)</f>
        <v>Viseća polica</v>
      </c>
      <c r="I213" t="s">
        <v>452</v>
      </c>
      <c r="J213" t="str">
        <f>VLOOKUP(A213,Klijenti!$A$1:$F$11,2,FALSE)</f>
        <v>Dom &amp; Dekor</v>
      </c>
      <c r="K213" t="str">
        <f>VLOOKUP(A213,Klijenti!$A$1:$F$11,3,FALSE)</f>
        <v>Beogradski region</v>
      </c>
    </row>
    <row r="214" spans="1:11">
      <c r="A214" s="5">
        <v>153</v>
      </c>
      <c r="B214" s="12">
        <v>45317</v>
      </c>
      <c r="C214" s="5">
        <v>688897</v>
      </c>
      <c r="D214" s="5" t="s">
        <v>107</v>
      </c>
      <c r="E214" s="5">
        <v>28</v>
      </c>
      <c r="F214" s="28" t="s">
        <v>351</v>
      </c>
      <c r="G214" t="str">
        <f>VLOOKUP(D214,Proizvodi!$A$1:$F$15,2,FALSE)</f>
        <v>Kuhinja</v>
      </c>
      <c r="H214" t="str">
        <f>VLOOKUP(D214,Proizvodi!$A$1:$F$15,3,FALSE)</f>
        <v>Viseća polica</v>
      </c>
      <c r="I214" t="s">
        <v>454</v>
      </c>
      <c r="J214" t="str">
        <f>VLOOKUP(A214,Klijenti!$A$1:$F$11,2,FALSE)</f>
        <v>Udobni Kutak</v>
      </c>
      <c r="K214" t="str">
        <f>VLOOKUP(A214,Klijenti!$A$1:$F$11,3,FALSE)</f>
        <v>Južni region</v>
      </c>
    </row>
    <row r="215" spans="1:11">
      <c r="A215" s="5">
        <v>151</v>
      </c>
      <c r="B215" s="12">
        <v>45373</v>
      </c>
      <c r="C215" s="5">
        <v>443480</v>
      </c>
      <c r="D215" s="5" t="s">
        <v>105</v>
      </c>
      <c r="E215" s="5">
        <v>31</v>
      </c>
      <c r="F215" s="28" t="s">
        <v>352</v>
      </c>
      <c r="G215" t="str">
        <f>VLOOKUP(D215,Proizvodi!$A$1:$F$15,2,FALSE)</f>
        <v>Trpezarija</v>
      </c>
      <c r="H215" t="str">
        <f>VLOOKUP(D215,Proizvodi!$A$1:$F$15,3,FALSE)</f>
        <v>Trpezarijski sto</v>
      </c>
      <c r="I215" t="s">
        <v>453</v>
      </c>
      <c r="J215" t="str">
        <f>VLOOKUP(A215,Klijenti!$A$1:$F$11,2,FALSE)</f>
        <v>Estetski Kutak</v>
      </c>
      <c r="K215" t="str">
        <f>VLOOKUP(A215,Klijenti!$A$1:$F$11,3,FALSE)</f>
        <v>Srbija</v>
      </c>
    </row>
    <row r="216" spans="1:11">
      <c r="A216" s="5">
        <v>108</v>
      </c>
      <c r="B216" s="12">
        <v>45369</v>
      </c>
      <c r="C216" s="5">
        <v>466126</v>
      </c>
      <c r="D216" s="5" t="s">
        <v>82</v>
      </c>
      <c r="E216" s="5">
        <v>14</v>
      </c>
      <c r="F216" s="28" t="s">
        <v>353</v>
      </c>
      <c r="G216" t="str">
        <f>VLOOKUP(D216,Proizvodi!$A$1:$F$15,2,FALSE)</f>
        <v>Nameštaj za dnevnu sobu</v>
      </c>
      <c r="H216" t="str">
        <f>VLOOKUP(D216,Proizvodi!$A$1:$F$15,3,FALSE)</f>
        <v>Klub sto</v>
      </c>
      <c r="I216" t="s">
        <v>452</v>
      </c>
      <c r="J216" t="str">
        <f>VLOOKUP(A216,Klijenti!$A$1:$F$11,2,FALSE)</f>
        <v>Dom &amp; Dekor</v>
      </c>
      <c r="K216" t="str">
        <f>VLOOKUP(A216,Klijenti!$A$1:$F$11,3,FALSE)</f>
        <v>Beogradski region</v>
      </c>
    </row>
    <row r="217" spans="1:11">
      <c r="A217" s="5">
        <v>108</v>
      </c>
      <c r="B217" s="12">
        <v>45308</v>
      </c>
      <c r="C217" s="5">
        <v>466126</v>
      </c>
      <c r="D217" s="5" t="s">
        <v>84</v>
      </c>
      <c r="E217" s="5">
        <v>26</v>
      </c>
      <c r="F217" s="28" t="s">
        <v>354</v>
      </c>
      <c r="G217" t="str">
        <f>VLOOKUP(D217,Proizvodi!$A$1:$F$15,2,FALSE)</f>
        <v>Nameštaj za spavaću sobu</v>
      </c>
      <c r="H217" t="str">
        <f>VLOOKUP(D217,Proizvodi!$A$1:$F$15,3,FALSE)</f>
        <v>Noćni ormarić</v>
      </c>
      <c r="I217" t="s">
        <v>452</v>
      </c>
      <c r="J217" t="str">
        <f>VLOOKUP(A217,Klijenti!$A$1:$F$11,2,FALSE)</f>
        <v>Dom &amp; Dekor</v>
      </c>
      <c r="K217" t="str">
        <f>VLOOKUP(A217,Klijenti!$A$1:$F$11,3,FALSE)</f>
        <v>Beogradski region</v>
      </c>
    </row>
    <row r="218" spans="1:11">
      <c r="A218" s="5">
        <v>179</v>
      </c>
      <c r="B218" s="12">
        <v>45337</v>
      </c>
      <c r="C218" s="5">
        <v>243994</v>
      </c>
      <c r="D218" s="5" t="s">
        <v>100</v>
      </c>
      <c r="E218" s="5">
        <v>7</v>
      </c>
      <c r="F218" s="28" t="s">
        <v>355</v>
      </c>
      <c r="G218" t="str">
        <f>VLOOKUP(D218,Proizvodi!$A$1:$F$15,2,FALSE)</f>
        <v>Trpezarija</v>
      </c>
      <c r="H218" t="str">
        <f>VLOOKUP(D218,Proizvodi!$A$1:$F$15,3,FALSE)</f>
        <v>Stolica za ručavanje</v>
      </c>
      <c r="I218" t="s">
        <v>455</v>
      </c>
      <c r="J218" t="str">
        <f>VLOOKUP(A218,Klijenti!$A$1:$F$11,2,FALSE)</f>
        <v>Elegantni Enterijeri</v>
      </c>
      <c r="K218" t="str">
        <f>VLOOKUP(A218,Klijenti!$A$1:$F$11,3,FALSE)</f>
        <v>Južni i Šumadijski region</v>
      </c>
    </row>
    <row r="219" spans="1:11">
      <c r="A219" s="5">
        <v>108</v>
      </c>
      <c r="B219" s="12">
        <v>45318</v>
      </c>
      <c r="C219" s="5">
        <v>466126</v>
      </c>
      <c r="D219" s="5" t="s">
        <v>84</v>
      </c>
      <c r="E219" s="5">
        <v>13</v>
      </c>
      <c r="F219" s="28" t="s">
        <v>356</v>
      </c>
      <c r="G219" t="str">
        <f>VLOOKUP(D219,Proizvodi!$A$1:$F$15,2,FALSE)</f>
        <v>Nameštaj za spavaću sobu</v>
      </c>
      <c r="H219" t="str">
        <f>VLOOKUP(D219,Proizvodi!$A$1:$F$15,3,FALSE)</f>
        <v>Noćni ormarić</v>
      </c>
      <c r="I219" t="s">
        <v>452</v>
      </c>
      <c r="J219" t="str">
        <f>VLOOKUP(A219,Klijenti!$A$1:$F$11,2,FALSE)</f>
        <v>Dom &amp; Dekor</v>
      </c>
      <c r="K219" t="str">
        <f>VLOOKUP(A219,Klijenti!$A$1:$F$11,3,FALSE)</f>
        <v>Beogradski region</v>
      </c>
    </row>
    <row r="220" spans="1:11">
      <c r="A220" s="5">
        <v>153</v>
      </c>
      <c r="B220" s="12">
        <v>45296</v>
      </c>
      <c r="C220" s="5">
        <v>688897</v>
      </c>
      <c r="D220" s="5" t="s">
        <v>107</v>
      </c>
      <c r="E220" s="5">
        <v>50</v>
      </c>
      <c r="F220" s="28" t="s">
        <v>357</v>
      </c>
      <c r="G220" t="str">
        <f>VLOOKUP(D220,Proizvodi!$A$1:$F$15,2,FALSE)</f>
        <v>Kuhinja</v>
      </c>
      <c r="H220" t="str">
        <f>VLOOKUP(D220,Proizvodi!$A$1:$F$15,3,FALSE)</f>
        <v>Viseća polica</v>
      </c>
      <c r="I220" t="s">
        <v>454</v>
      </c>
      <c r="J220" t="str">
        <f>VLOOKUP(A220,Klijenti!$A$1:$F$11,2,FALSE)</f>
        <v>Udobni Kutak</v>
      </c>
      <c r="K220" t="str">
        <f>VLOOKUP(A220,Klijenti!$A$1:$F$11,3,FALSE)</f>
        <v>Južni region</v>
      </c>
    </row>
    <row r="221" spans="1:11">
      <c r="A221" s="5">
        <v>163</v>
      </c>
      <c r="B221" s="12">
        <v>45308</v>
      </c>
      <c r="C221" s="5">
        <v>443480</v>
      </c>
      <c r="D221" s="5" t="s">
        <v>95</v>
      </c>
      <c r="E221" s="5">
        <v>50</v>
      </c>
      <c r="F221" s="28" t="s">
        <v>358</v>
      </c>
      <c r="G221" t="str">
        <f>VLOOKUP(D221,Proizvodi!$A$1:$F$15,2,FALSE)</f>
        <v>Nameštaj za radnu sobu</v>
      </c>
      <c r="H221" t="str">
        <f>VLOOKUP(D221,Proizvodi!$A$1:$F$15,3,FALSE)</f>
        <v>Radni sto</v>
      </c>
      <c r="I221" t="s">
        <v>453</v>
      </c>
      <c r="J221" t="str">
        <f>VLOOKUP(A221,Klijenti!$A$1:$F$11,2,FALSE)</f>
        <v>Sofistikacija Doma</v>
      </c>
      <c r="K221" t="str">
        <f>VLOOKUP(A221,Klijenti!$A$1:$F$11,3,FALSE)</f>
        <v>Šumadija</v>
      </c>
    </row>
    <row r="222" spans="1:11">
      <c r="A222" s="5">
        <v>186</v>
      </c>
      <c r="B222" s="12">
        <v>45307</v>
      </c>
      <c r="C222" s="5">
        <v>243994</v>
      </c>
      <c r="D222" s="5" t="s">
        <v>84</v>
      </c>
      <c r="E222" s="5">
        <v>37</v>
      </c>
      <c r="F222" s="28" t="s">
        <v>359</v>
      </c>
      <c r="G222" t="str">
        <f>VLOOKUP(D222,Proizvodi!$A$1:$F$15,2,FALSE)</f>
        <v>Nameštaj za spavaću sobu</v>
      </c>
      <c r="H222" t="str">
        <f>VLOOKUP(D222,Proizvodi!$A$1:$F$15,3,FALSE)</f>
        <v>Noćni ormarić</v>
      </c>
      <c r="I222" t="s">
        <v>455</v>
      </c>
      <c r="J222" t="str">
        <f>VLOOKUP(A222,Klijenti!$A$1:$F$11,2,FALSE)</f>
        <v>Kuća- Uređenje i Dizajn</v>
      </c>
      <c r="K222" t="str">
        <f>VLOOKUP(A222,Klijenti!$A$1:$F$11,3,FALSE)</f>
        <v>Beogradski region</v>
      </c>
    </row>
    <row r="223" spans="1:11">
      <c r="A223" s="5">
        <v>108</v>
      </c>
      <c r="B223" s="12">
        <v>45326</v>
      </c>
      <c r="C223" s="5">
        <v>466126</v>
      </c>
      <c r="D223" s="5" t="s">
        <v>98</v>
      </c>
      <c r="E223" s="5">
        <v>40</v>
      </c>
      <c r="F223" s="28" t="s">
        <v>360</v>
      </c>
      <c r="G223" t="str">
        <f>VLOOKUP(D223,Proizvodi!$A$1:$F$15,2,FALSE)</f>
        <v>Nameštaj za dnevnu sobu</v>
      </c>
      <c r="H223" t="str">
        <f>VLOOKUP(D223,Proizvodi!$A$1:$F$15,3,FALSE)</f>
        <v>Sofa</v>
      </c>
      <c r="I223" t="s">
        <v>452</v>
      </c>
      <c r="J223" t="str">
        <f>VLOOKUP(A223,Klijenti!$A$1:$F$11,2,FALSE)</f>
        <v>Dom &amp; Dekor</v>
      </c>
      <c r="K223" t="str">
        <f>VLOOKUP(A223,Klijenti!$A$1:$F$11,3,FALSE)</f>
        <v>Beogradski region</v>
      </c>
    </row>
    <row r="224" spans="1:11">
      <c r="A224" s="5">
        <v>153</v>
      </c>
      <c r="B224" s="12">
        <v>45362</v>
      </c>
      <c r="C224" s="5">
        <v>688897</v>
      </c>
      <c r="D224" s="5" t="s">
        <v>89</v>
      </c>
      <c r="E224" s="5">
        <v>28</v>
      </c>
      <c r="F224" s="28" t="s">
        <v>361</v>
      </c>
      <c r="G224" t="str">
        <f>VLOOKUP(D224,Proizvodi!$A$1:$F$15,2,FALSE)</f>
        <v>Nameštaj za dnevnu sobu</v>
      </c>
      <c r="H224" t="str">
        <f>VLOOKUP(D224,Proizvodi!$A$1:$F$15,3,FALSE)</f>
        <v>Ogledalo za zid</v>
      </c>
      <c r="I224" t="s">
        <v>454</v>
      </c>
      <c r="J224" t="str">
        <f>VLOOKUP(A224,Klijenti!$A$1:$F$11,2,FALSE)</f>
        <v>Udobni Kutak</v>
      </c>
      <c r="K224" t="str">
        <f>VLOOKUP(A224,Klijenti!$A$1:$F$11,3,FALSE)</f>
        <v>Južni region</v>
      </c>
    </row>
    <row r="225" spans="1:11">
      <c r="A225" s="5">
        <v>127</v>
      </c>
      <c r="B225" s="12">
        <v>45370</v>
      </c>
      <c r="C225" s="5">
        <v>171444</v>
      </c>
      <c r="D225" s="5" t="s">
        <v>107</v>
      </c>
      <c r="E225" s="5">
        <v>46</v>
      </c>
      <c r="F225" s="28" t="s">
        <v>362</v>
      </c>
      <c r="G225" t="str">
        <f>VLOOKUP(D225,Proizvodi!$A$1:$F$15,2,FALSE)</f>
        <v>Kuhinja</v>
      </c>
      <c r="H225" t="str">
        <f>VLOOKUP(D225,Proizvodi!$A$1:$F$15,3,FALSE)</f>
        <v>Viseća polica</v>
      </c>
      <c r="I225" t="s">
        <v>456</v>
      </c>
      <c r="J225" t="str">
        <f>VLOOKUP(A225,Klijenti!$A$1:$F$11,2,FALSE)</f>
        <v>Luksuzni Dizajn</v>
      </c>
      <c r="K225" t="str">
        <f>VLOOKUP(A225,Klijenti!$A$1:$F$11,3,FALSE)</f>
        <v>Vojvodina</v>
      </c>
    </row>
    <row r="226" spans="1:11">
      <c r="A226" s="5">
        <v>152</v>
      </c>
      <c r="B226" s="12">
        <v>45327</v>
      </c>
      <c r="C226" s="5">
        <v>171444</v>
      </c>
      <c r="D226" s="5" t="s">
        <v>79</v>
      </c>
      <c r="E226" s="5">
        <v>29</v>
      </c>
      <c r="F226" s="28" t="s">
        <v>363</v>
      </c>
      <c r="G226" t="str">
        <f>VLOOKUP(D226,Proizvodi!$A$1:$F$15,2,FALSE)</f>
        <v>Kuhinja</v>
      </c>
      <c r="H226" t="str">
        <f>VLOOKUP(D226,Proizvodi!$A$1:$F$15,3,FALSE)</f>
        <v>Kuhinjsko ostrvo</v>
      </c>
      <c r="I226" t="s">
        <v>456</v>
      </c>
      <c r="J226" t="str">
        <f>VLOOKUP(A226,Klijenti!$A$1:$F$11,2,FALSE)</f>
        <v>Prostor za Uživanje</v>
      </c>
      <c r="K226" t="str">
        <f>VLOOKUP(A226,Klijenti!$A$1:$F$11,3,FALSE)</f>
        <v>Srbija</v>
      </c>
    </row>
    <row r="227" spans="1:11">
      <c r="A227" s="5">
        <v>152</v>
      </c>
      <c r="B227" s="12">
        <v>45332</v>
      </c>
      <c r="C227" s="5">
        <v>171444</v>
      </c>
      <c r="D227" s="5" t="s">
        <v>100</v>
      </c>
      <c r="E227" s="5">
        <v>19</v>
      </c>
      <c r="F227" s="28" t="s">
        <v>364</v>
      </c>
      <c r="G227" t="str">
        <f>VLOOKUP(D227,Proizvodi!$A$1:$F$15,2,FALSE)</f>
        <v>Trpezarija</v>
      </c>
      <c r="H227" t="str">
        <f>VLOOKUP(D227,Proizvodi!$A$1:$F$15,3,FALSE)</f>
        <v>Stolica za ručavanje</v>
      </c>
      <c r="I227" t="s">
        <v>456</v>
      </c>
      <c r="J227" t="str">
        <f>VLOOKUP(A227,Klijenti!$A$1:$F$11,2,FALSE)</f>
        <v>Prostor za Uživanje</v>
      </c>
      <c r="K227" t="str">
        <f>VLOOKUP(A227,Klijenti!$A$1:$F$11,3,FALSE)</f>
        <v>Srbija</v>
      </c>
    </row>
    <row r="228" spans="1:11">
      <c r="A228" s="5">
        <v>152</v>
      </c>
      <c r="B228" s="12">
        <v>45360</v>
      </c>
      <c r="C228" s="5">
        <v>171444</v>
      </c>
      <c r="D228" s="5" t="s">
        <v>91</v>
      </c>
      <c r="E228" s="5">
        <v>33</v>
      </c>
      <c r="F228" s="28" t="s">
        <v>365</v>
      </c>
      <c r="G228" t="str">
        <f>VLOOKUP(D228,Proizvodi!$A$1:$F$15,2,FALSE)</f>
        <v>Nameštaj za dnevnu sobu</v>
      </c>
      <c r="H228" t="str">
        <f>VLOOKUP(D228,Proizvodi!$A$1:$F$15,3,FALSE)</f>
        <v>Polica za knjige</v>
      </c>
      <c r="I228" t="s">
        <v>456</v>
      </c>
      <c r="J228" t="str">
        <f>VLOOKUP(A228,Klijenti!$A$1:$F$11,2,FALSE)</f>
        <v>Prostor za Uživanje</v>
      </c>
      <c r="K228" t="str">
        <f>VLOOKUP(A228,Klijenti!$A$1:$F$11,3,FALSE)</f>
        <v>Srbija</v>
      </c>
    </row>
    <row r="229" spans="1:11">
      <c r="A229" s="5">
        <v>151</v>
      </c>
      <c r="B229" s="12">
        <v>45334</v>
      </c>
      <c r="C229" s="5">
        <v>443480</v>
      </c>
      <c r="D229" s="5" t="s">
        <v>87</v>
      </c>
      <c r="E229" s="5">
        <v>7</v>
      </c>
      <c r="F229" s="28" t="s">
        <v>366</v>
      </c>
      <c r="G229" t="str">
        <f>VLOOKUP(D229,Proizvodi!$A$1:$F$15,2,FALSE)</f>
        <v>Nameštaj za dnevnu sobu</v>
      </c>
      <c r="H229" t="str">
        <f>VLOOKUP(D229,Proizvodi!$A$1:$F$15,3,FALSE)</f>
        <v>Ormarić za TV</v>
      </c>
      <c r="I229" t="s">
        <v>453</v>
      </c>
      <c r="J229" t="str">
        <f>VLOOKUP(A229,Klijenti!$A$1:$F$11,2,FALSE)</f>
        <v>Estetski Kutak</v>
      </c>
      <c r="K229" t="str">
        <f>VLOOKUP(A229,Klijenti!$A$1:$F$11,3,FALSE)</f>
        <v>Srbija</v>
      </c>
    </row>
    <row r="230" spans="1:11">
      <c r="A230" s="5">
        <v>157</v>
      </c>
      <c r="B230" s="12">
        <v>45315</v>
      </c>
      <c r="C230" s="5">
        <v>688897</v>
      </c>
      <c r="D230" s="5" t="s">
        <v>87</v>
      </c>
      <c r="E230" s="5">
        <v>27</v>
      </c>
      <c r="F230" s="28" t="s">
        <v>367</v>
      </c>
      <c r="G230" t="str">
        <f>VLOOKUP(D230,Proizvodi!$A$1:$F$15,2,FALSE)</f>
        <v>Nameštaj za dnevnu sobu</v>
      </c>
      <c r="H230" t="str">
        <f>VLOOKUP(D230,Proizvodi!$A$1:$F$15,3,FALSE)</f>
        <v>Ormarić za TV</v>
      </c>
      <c r="I230" t="s">
        <v>454</v>
      </c>
      <c r="J230" t="str">
        <f>VLOOKUP(A230,Klijenti!$A$1:$F$11,2,FALSE)</f>
        <v>Stilski Stan</v>
      </c>
      <c r="K230" t="str">
        <f>VLOOKUP(A230,Klijenti!$A$1:$F$11,3,FALSE)</f>
        <v>Vojvodina i Beograd</v>
      </c>
    </row>
    <row r="231" spans="1:11">
      <c r="A231" s="5">
        <v>151</v>
      </c>
      <c r="B231" s="12">
        <v>45317</v>
      </c>
      <c r="C231" s="5">
        <v>443480</v>
      </c>
      <c r="D231" s="5" t="s">
        <v>79</v>
      </c>
      <c r="E231" s="5">
        <v>32</v>
      </c>
      <c r="F231" s="28" t="s">
        <v>368</v>
      </c>
      <c r="G231" t="str">
        <f>VLOOKUP(D231,Proizvodi!$A$1:$F$15,2,FALSE)</f>
        <v>Kuhinja</v>
      </c>
      <c r="H231" t="str">
        <f>VLOOKUP(D231,Proizvodi!$A$1:$F$15,3,FALSE)</f>
        <v>Kuhinjsko ostrvo</v>
      </c>
      <c r="I231" t="s">
        <v>453</v>
      </c>
      <c r="J231" t="str">
        <f>VLOOKUP(A231,Klijenti!$A$1:$F$11,2,FALSE)</f>
        <v>Estetski Kutak</v>
      </c>
      <c r="K231" t="str">
        <f>VLOOKUP(A231,Klijenti!$A$1:$F$11,3,FALSE)</f>
        <v>Srbija</v>
      </c>
    </row>
    <row r="232" spans="1:11">
      <c r="A232" s="5">
        <v>163</v>
      </c>
      <c r="B232" s="12">
        <v>45357</v>
      </c>
      <c r="C232" s="5">
        <v>443480</v>
      </c>
      <c r="D232" s="5" t="s">
        <v>93</v>
      </c>
      <c r="E232" s="5">
        <v>47</v>
      </c>
      <c r="F232" s="28" t="s">
        <v>369</v>
      </c>
      <c r="G232" t="str">
        <f>VLOOKUP(D232,Proizvodi!$A$1:$F$15,2,FALSE)</f>
        <v>Nameštaj za dnevnu sobu</v>
      </c>
      <c r="H232" t="str">
        <f>VLOOKUP(D232,Proizvodi!$A$1:$F$15,3,FALSE)</f>
        <v>Rasklopiva fotelja</v>
      </c>
      <c r="I232" t="s">
        <v>453</v>
      </c>
      <c r="J232" t="str">
        <f>VLOOKUP(A232,Klijenti!$A$1:$F$11,2,FALSE)</f>
        <v>Sofistikacija Doma</v>
      </c>
      <c r="K232" t="str">
        <f>VLOOKUP(A232,Klijenti!$A$1:$F$11,3,FALSE)</f>
        <v>Šumadija</v>
      </c>
    </row>
    <row r="233" spans="1:11">
      <c r="A233" s="5">
        <v>108</v>
      </c>
      <c r="B233" s="12">
        <v>45365</v>
      </c>
      <c r="C233" s="5">
        <v>466126</v>
      </c>
      <c r="D233" s="5" t="s">
        <v>89</v>
      </c>
      <c r="E233" s="5">
        <v>6</v>
      </c>
      <c r="F233" s="28" t="s">
        <v>370</v>
      </c>
      <c r="G233" t="str">
        <f>VLOOKUP(D233,Proizvodi!$A$1:$F$15,2,FALSE)</f>
        <v>Nameštaj za dnevnu sobu</v>
      </c>
      <c r="H233" t="str">
        <f>VLOOKUP(D233,Proizvodi!$A$1:$F$15,3,FALSE)</f>
        <v>Ogledalo za zid</v>
      </c>
      <c r="I233" t="s">
        <v>452</v>
      </c>
      <c r="J233" t="str">
        <f>VLOOKUP(A233,Klijenti!$A$1:$F$11,2,FALSE)</f>
        <v>Dom &amp; Dekor</v>
      </c>
      <c r="K233" t="str">
        <f>VLOOKUP(A233,Klijenti!$A$1:$F$11,3,FALSE)</f>
        <v>Beogradski region</v>
      </c>
    </row>
    <row r="234" spans="1:11">
      <c r="A234" s="5">
        <v>151</v>
      </c>
      <c r="B234" s="12">
        <v>45357</v>
      </c>
      <c r="C234" s="5">
        <v>443480</v>
      </c>
      <c r="D234" s="5" t="s">
        <v>91</v>
      </c>
      <c r="E234" s="5">
        <v>24</v>
      </c>
      <c r="F234" s="28" t="s">
        <v>371</v>
      </c>
      <c r="G234" t="str">
        <f>VLOOKUP(D234,Proizvodi!$A$1:$F$15,2,FALSE)</f>
        <v>Nameštaj za dnevnu sobu</v>
      </c>
      <c r="H234" t="str">
        <f>VLOOKUP(D234,Proizvodi!$A$1:$F$15,3,FALSE)</f>
        <v>Polica za knjige</v>
      </c>
      <c r="I234" t="s">
        <v>453</v>
      </c>
      <c r="J234" t="str">
        <f>VLOOKUP(A234,Klijenti!$A$1:$F$11,2,FALSE)</f>
        <v>Estetski Kutak</v>
      </c>
      <c r="K234" t="str">
        <f>VLOOKUP(A234,Klijenti!$A$1:$F$11,3,FALSE)</f>
        <v>Srbija</v>
      </c>
    </row>
    <row r="235" spans="1:11">
      <c r="A235" s="5">
        <v>153</v>
      </c>
      <c r="B235" s="12">
        <v>45323</v>
      </c>
      <c r="C235" s="5">
        <v>688897</v>
      </c>
      <c r="D235" s="5" t="s">
        <v>95</v>
      </c>
      <c r="E235" s="5">
        <v>46</v>
      </c>
      <c r="F235" s="28" t="s">
        <v>372</v>
      </c>
      <c r="G235" t="str">
        <f>VLOOKUP(D235,Proizvodi!$A$1:$F$15,2,FALSE)</f>
        <v>Nameštaj za radnu sobu</v>
      </c>
      <c r="H235" t="str">
        <f>VLOOKUP(D235,Proizvodi!$A$1:$F$15,3,FALSE)</f>
        <v>Radni sto</v>
      </c>
      <c r="I235" t="s">
        <v>454</v>
      </c>
      <c r="J235" t="str">
        <f>VLOOKUP(A235,Klijenti!$A$1:$F$11,2,FALSE)</f>
        <v>Udobni Kutak</v>
      </c>
      <c r="K235" t="str">
        <f>VLOOKUP(A235,Klijenti!$A$1:$F$11,3,FALSE)</f>
        <v>Južni region</v>
      </c>
    </row>
    <row r="236" spans="1:11">
      <c r="A236" s="5">
        <v>195</v>
      </c>
      <c r="B236" s="12">
        <v>45378</v>
      </c>
      <c r="C236" s="5">
        <v>466126</v>
      </c>
      <c r="D236" s="5" t="s">
        <v>91</v>
      </c>
      <c r="E236" s="5">
        <v>26</v>
      </c>
      <c r="F236" s="28" t="s">
        <v>373</v>
      </c>
      <c r="G236" t="str">
        <f>VLOOKUP(D236,Proizvodi!$A$1:$F$15,2,FALSE)</f>
        <v>Nameštaj za dnevnu sobu</v>
      </c>
      <c r="H236" t="str">
        <f>VLOOKUP(D236,Proizvodi!$A$1:$F$15,3,FALSE)</f>
        <v>Polica za knjige</v>
      </c>
      <c r="I236" t="s">
        <v>452</v>
      </c>
      <c r="J236" t="str">
        <f>VLOOKUP(A236,Klijenti!$A$1:$F$11,2,FALSE)</f>
        <v>Moderni Dom</v>
      </c>
      <c r="K236" t="str">
        <f>VLOOKUP(A236,Klijenti!$A$1:$F$11,3,FALSE)</f>
        <v>Srbija</v>
      </c>
    </row>
    <row r="237" spans="1:11">
      <c r="A237" s="5">
        <v>153</v>
      </c>
      <c r="B237" s="12">
        <v>45350</v>
      </c>
      <c r="C237" s="5">
        <v>688897</v>
      </c>
      <c r="D237" s="5" t="s">
        <v>84</v>
      </c>
      <c r="E237" s="5">
        <v>8</v>
      </c>
      <c r="F237" s="28" t="s">
        <v>374</v>
      </c>
      <c r="G237" t="str">
        <f>VLOOKUP(D237,Proizvodi!$A$1:$F$15,2,FALSE)</f>
        <v>Nameštaj za spavaću sobu</v>
      </c>
      <c r="H237" t="str">
        <f>VLOOKUP(D237,Proizvodi!$A$1:$F$15,3,FALSE)</f>
        <v>Noćni ormarić</v>
      </c>
      <c r="I237" t="s">
        <v>454</v>
      </c>
      <c r="J237" t="str">
        <f>VLOOKUP(A237,Klijenti!$A$1:$F$11,2,FALSE)</f>
        <v>Udobni Kutak</v>
      </c>
      <c r="K237" t="str">
        <f>VLOOKUP(A237,Klijenti!$A$1:$F$11,3,FALSE)</f>
        <v>Južni region</v>
      </c>
    </row>
    <row r="238" spans="1:11">
      <c r="A238" s="5">
        <v>195</v>
      </c>
      <c r="B238" s="12">
        <v>45352</v>
      </c>
      <c r="C238" s="5">
        <v>466126</v>
      </c>
      <c r="D238" s="5" t="s">
        <v>100</v>
      </c>
      <c r="E238" s="5">
        <v>49</v>
      </c>
      <c r="F238" s="28" t="s">
        <v>375</v>
      </c>
      <c r="G238" t="str">
        <f>VLOOKUP(D238,Proizvodi!$A$1:$F$15,2,FALSE)</f>
        <v>Trpezarija</v>
      </c>
      <c r="H238" t="str">
        <f>VLOOKUP(D238,Proizvodi!$A$1:$F$15,3,FALSE)</f>
        <v>Stolica za ručavanje</v>
      </c>
      <c r="I238" t="s">
        <v>452</v>
      </c>
      <c r="J238" t="str">
        <f>VLOOKUP(A238,Klijenti!$A$1:$F$11,2,FALSE)</f>
        <v>Moderni Dom</v>
      </c>
      <c r="K238" t="str">
        <f>VLOOKUP(A238,Klijenti!$A$1:$F$11,3,FALSE)</f>
        <v>Srbija</v>
      </c>
    </row>
    <row r="239" spans="1:11">
      <c r="A239" s="5">
        <v>153</v>
      </c>
      <c r="B239" s="12">
        <v>45296</v>
      </c>
      <c r="C239" s="5">
        <v>688897</v>
      </c>
      <c r="D239" s="5" t="s">
        <v>107</v>
      </c>
      <c r="E239" s="5">
        <v>14</v>
      </c>
      <c r="F239" s="28" t="s">
        <v>376</v>
      </c>
      <c r="G239" t="str">
        <f>VLOOKUP(D239,Proizvodi!$A$1:$F$15,2,FALSE)</f>
        <v>Kuhinja</v>
      </c>
      <c r="H239" t="str">
        <f>VLOOKUP(D239,Proizvodi!$A$1:$F$15,3,FALSE)</f>
        <v>Viseća polica</v>
      </c>
      <c r="I239" t="s">
        <v>454</v>
      </c>
      <c r="J239" t="str">
        <f>VLOOKUP(A239,Klijenti!$A$1:$F$11,2,FALSE)</f>
        <v>Udobni Kutak</v>
      </c>
      <c r="K239" t="str">
        <f>VLOOKUP(A239,Klijenti!$A$1:$F$11,3,FALSE)</f>
        <v>Južni region</v>
      </c>
    </row>
    <row r="240" spans="1:11">
      <c r="A240" s="5">
        <v>157</v>
      </c>
      <c r="B240" s="12">
        <v>45349</v>
      </c>
      <c r="C240" s="5">
        <v>688897</v>
      </c>
      <c r="D240" s="5" t="s">
        <v>79</v>
      </c>
      <c r="E240" s="5">
        <v>42</v>
      </c>
      <c r="F240" s="28" t="s">
        <v>377</v>
      </c>
      <c r="G240" t="str">
        <f>VLOOKUP(D240,Proizvodi!$A$1:$F$15,2,FALSE)</f>
        <v>Kuhinja</v>
      </c>
      <c r="H240" t="str">
        <f>VLOOKUP(D240,Proizvodi!$A$1:$F$15,3,FALSE)</f>
        <v>Kuhinjsko ostrvo</v>
      </c>
      <c r="I240" t="s">
        <v>454</v>
      </c>
      <c r="J240" t="str">
        <f>VLOOKUP(A240,Klijenti!$A$1:$F$11,2,FALSE)</f>
        <v>Stilski Stan</v>
      </c>
      <c r="K240" t="str">
        <f>VLOOKUP(A240,Klijenti!$A$1:$F$11,3,FALSE)</f>
        <v>Vojvodina i Beograd</v>
      </c>
    </row>
    <row r="241" spans="1:11">
      <c r="A241" s="5">
        <v>163</v>
      </c>
      <c r="B241" s="12">
        <v>45367</v>
      </c>
      <c r="C241" s="5">
        <v>443480</v>
      </c>
      <c r="D241" s="5" t="s">
        <v>98</v>
      </c>
      <c r="E241" s="5">
        <v>44</v>
      </c>
      <c r="F241" s="28" t="s">
        <v>378</v>
      </c>
      <c r="G241" t="str">
        <f>VLOOKUP(D241,Proizvodi!$A$1:$F$15,2,FALSE)</f>
        <v>Nameštaj za dnevnu sobu</v>
      </c>
      <c r="H241" t="str">
        <f>VLOOKUP(D241,Proizvodi!$A$1:$F$15,3,FALSE)</f>
        <v>Sofa</v>
      </c>
      <c r="I241" t="s">
        <v>453</v>
      </c>
      <c r="J241" t="str">
        <f>VLOOKUP(A241,Klijenti!$A$1:$F$11,2,FALSE)</f>
        <v>Sofistikacija Doma</v>
      </c>
      <c r="K241" t="str">
        <f>VLOOKUP(A241,Klijenti!$A$1:$F$11,3,FALSE)</f>
        <v>Šumadija</v>
      </c>
    </row>
    <row r="242" spans="1:11">
      <c r="A242" s="5">
        <v>153</v>
      </c>
      <c r="B242" s="12">
        <v>45341</v>
      </c>
      <c r="C242" s="5">
        <v>688897</v>
      </c>
      <c r="D242" s="5" t="s">
        <v>93</v>
      </c>
      <c r="E242" s="5">
        <v>50</v>
      </c>
      <c r="F242" s="28" t="s">
        <v>379</v>
      </c>
      <c r="G242" t="str">
        <f>VLOOKUP(D242,Proizvodi!$A$1:$F$15,2,FALSE)</f>
        <v>Nameštaj za dnevnu sobu</v>
      </c>
      <c r="H242" t="str">
        <f>VLOOKUP(D242,Proizvodi!$A$1:$F$15,3,FALSE)</f>
        <v>Rasklopiva fotelja</v>
      </c>
      <c r="I242" t="s">
        <v>454</v>
      </c>
      <c r="J242" t="str">
        <f>VLOOKUP(A242,Klijenti!$A$1:$F$11,2,FALSE)</f>
        <v>Udobni Kutak</v>
      </c>
      <c r="K242" t="str">
        <f>VLOOKUP(A242,Klijenti!$A$1:$F$11,3,FALSE)</f>
        <v>Južni region</v>
      </c>
    </row>
    <row r="243" spans="1:11">
      <c r="A243" s="5">
        <v>186</v>
      </c>
      <c r="B243" s="12">
        <v>45350</v>
      </c>
      <c r="C243" s="5">
        <v>243994</v>
      </c>
      <c r="D243" s="5" t="s">
        <v>95</v>
      </c>
      <c r="E243" s="5">
        <v>40</v>
      </c>
      <c r="F243" s="28" t="s">
        <v>380</v>
      </c>
      <c r="G243" t="str">
        <f>VLOOKUP(D243,Proizvodi!$A$1:$F$15,2,FALSE)</f>
        <v>Nameštaj za radnu sobu</v>
      </c>
      <c r="H243" t="str">
        <f>VLOOKUP(D243,Proizvodi!$A$1:$F$15,3,FALSE)</f>
        <v>Radni sto</v>
      </c>
      <c r="I243" t="s">
        <v>455</v>
      </c>
      <c r="J243" t="str">
        <f>VLOOKUP(A243,Klijenti!$A$1:$F$11,2,FALSE)</f>
        <v>Kuća- Uređenje i Dizajn</v>
      </c>
      <c r="K243" t="str">
        <f>VLOOKUP(A243,Klijenti!$A$1:$F$11,3,FALSE)</f>
        <v>Beogradski region</v>
      </c>
    </row>
    <row r="244" spans="1:11">
      <c r="A244" s="5">
        <v>108</v>
      </c>
      <c r="B244" s="12">
        <v>45318</v>
      </c>
      <c r="C244" s="5">
        <v>466126</v>
      </c>
      <c r="D244" s="5" t="s">
        <v>98</v>
      </c>
      <c r="E244" s="5">
        <v>43</v>
      </c>
      <c r="F244" s="28" t="s">
        <v>381</v>
      </c>
      <c r="G244" t="str">
        <f>VLOOKUP(D244,Proizvodi!$A$1:$F$15,2,FALSE)</f>
        <v>Nameštaj za dnevnu sobu</v>
      </c>
      <c r="H244" t="str">
        <f>VLOOKUP(D244,Proizvodi!$A$1:$F$15,3,FALSE)</f>
        <v>Sofa</v>
      </c>
      <c r="I244" t="s">
        <v>452</v>
      </c>
      <c r="J244" t="str">
        <f>VLOOKUP(A244,Klijenti!$A$1:$F$11,2,FALSE)</f>
        <v>Dom &amp; Dekor</v>
      </c>
      <c r="K244" t="str">
        <f>VLOOKUP(A244,Klijenti!$A$1:$F$11,3,FALSE)</f>
        <v>Beogradski region</v>
      </c>
    </row>
    <row r="245" spans="1:11">
      <c r="A245" s="5">
        <v>151</v>
      </c>
      <c r="B245" s="12">
        <v>45361</v>
      </c>
      <c r="C245" s="5">
        <v>443480</v>
      </c>
      <c r="D245" s="5" t="s">
        <v>100</v>
      </c>
      <c r="E245" s="5">
        <v>12</v>
      </c>
      <c r="F245" s="28" t="s">
        <v>382</v>
      </c>
      <c r="G245" t="str">
        <f>VLOOKUP(D245,Proizvodi!$A$1:$F$15,2,FALSE)</f>
        <v>Trpezarija</v>
      </c>
      <c r="H245" t="str">
        <f>VLOOKUP(D245,Proizvodi!$A$1:$F$15,3,FALSE)</f>
        <v>Stolica za ručavanje</v>
      </c>
      <c r="I245" t="s">
        <v>453</v>
      </c>
      <c r="J245" t="str">
        <f>VLOOKUP(A245,Klijenti!$A$1:$F$11,2,FALSE)</f>
        <v>Estetski Kutak</v>
      </c>
      <c r="K245" t="str">
        <f>VLOOKUP(A245,Klijenti!$A$1:$F$11,3,FALSE)</f>
        <v>Srbija</v>
      </c>
    </row>
    <row r="246" spans="1:11">
      <c r="A246" s="5">
        <v>163</v>
      </c>
      <c r="B246" s="12">
        <v>45303</v>
      </c>
      <c r="C246" s="5">
        <v>443480</v>
      </c>
      <c r="D246" s="5" t="s">
        <v>95</v>
      </c>
      <c r="E246" s="5">
        <v>39</v>
      </c>
      <c r="F246" s="28" t="s">
        <v>383</v>
      </c>
      <c r="G246" t="str">
        <f>VLOOKUP(D246,Proizvodi!$A$1:$F$15,2,FALSE)</f>
        <v>Nameštaj za radnu sobu</v>
      </c>
      <c r="H246" t="str">
        <f>VLOOKUP(D246,Proizvodi!$A$1:$F$15,3,FALSE)</f>
        <v>Radni sto</v>
      </c>
      <c r="I246" t="s">
        <v>453</v>
      </c>
      <c r="J246" t="str">
        <f>VLOOKUP(A246,Klijenti!$A$1:$F$11,2,FALSE)</f>
        <v>Sofistikacija Doma</v>
      </c>
      <c r="K246" t="str">
        <f>VLOOKUP(A246,Klijenti!$A$1:$F$11,3,FALSE)</f>
        <v>Šumadija</v>
      </c>
    </row>
    <row r="247" spans="1:11">
      <c r="A247" s="5">
        <v>151</v>
      </c>
      <c r="B247" s="12">
        <v>45306</v>
      </c>
      <c r="C247" s="5">
        <v>443480</v>
      </c>
      <c r="D247" s="5" t="s">
        <v>100</v>
      </c>
      <c r="E247" s="5">
        <v>24</v>
      </c>
      <c r="F247" s="28" t="s">
        <v>384</v>
      </c>
      <c r="G247" t="str">
        <f>VLOOKUP(D247,Proizvodi!$A$1:$F$15,2,FALSE)</f>
        <v>Trpezarija</v>
      </c>
      <c r="H247" t="str">
        <f>VLOOKUP(D247,Proizvodi!$A$1:$F$15,3,FALSE)</f>
        <v>Stolica za ručavanje</v>
      </c>
      <c r="I247" t="s">
        <v>453</v>
      </c>
      <c r="J247" t="str">
        <f>VLOOKUP(A247,Klijenti!$A$1:$F$11,2,FALSE)</f>
        <v>Estetski Kutak</v>
      </c>
      <c r="K247" t="str">
        <f>VLOOKUP(A247,Klijenti!$A$1:$F$11,3,FALSE)</f>
        <v>Srbija</v>
      </c>
    </row>
    <row r="248" spans="1:11">
      <c r="A248" s="5">
        <v>127</v>
      </c>
      <c r="B248" s="12">
        <v>45346</v>
      </c>
      <c r="C248" s="5">
        <v>171444</v>
      </c>
      <c r="D248" s="5" t="s">
        <v>95</v>
      </c>
      <c r="E248" s="5">
        <v>14</v>
      </c>
      <c r="F248" s="28" t="s">
        <v>385</v>
      </c>
      <c r="G248" t="str">
        <f>VLOOKUP(D248,Proizvodi!$A$1:$F$15,2,FALSE)</f>
        <v>Nameštaj za radnu sobu</v>
      </c>
      <c r="H248" t="str">
        <f>VLOOKUP(D248,Proizvodi!$A$1:$F$15,3,FALSE)</f>
        <v>Radni sto</v>
      </c>
      <c r="I248" t="s">
        <v>456</v>
      </c>
      <c r="J248" t="str">
        <f>VLOOKUP(A248,Klijenti!$A$1:$F$11,2,FALSE)</f>
        <v>Luksuzni Dizajn</v>
      </c>
      <c r="K248" t="str">
        <f>VLOOKUP(A248,Klijenti!$A$1:$F$11,3,FALSE)</f>
        <v>Vojvodina</v>
      </c>
    </row>
    <row r="249" spans="1:11">
      <c r="A249" s="5">
        <v>163</v>
      </c>
      <c r="B249" s="12">
        <v>45351</v>
      </c>
      <c r="C249" s="5">
        <v>443480</v>
      </c>
      <c r="D249" s="5" t="s">
        <v>95</v>
      </c>
      <c r="E249" s="5">
        <v>9</v>
      </c>
      <c r="F249" s="28" t="s">
        <v>386</v>
      </c>
      <c r="G249" t="str">
        <f>VLOOKUP(D249,Proizvodi!$A$1:$F$15,2,FALSE)</f>
        <v>Nameštaj za radnu sobu</v>
      </c>
      <c r="H249" t="str">
        <f>VLOOKUP(D249,Proizvodi!$A$1:$F$15,3,FALSE)</f>
        <v>Radni sto</v>
      </c>
      <c r="I249" t="s">
        <v>453</v>
      </c>
      <c r="J249" t="str">
        <f>VLOOKUP(A249,Klijenti!$A$1:$F$11,2,FALSE)</f>
        <v>Sofistikacija Doma</v>
      </c>
      <c r="K249" t="str">
        <f>VLOOKUP(A249,Klijenti!$A$1:$F$11,3,FALSE)</f>
        <v>Šumadija</v>
      </c>
    </row>
    <row r="250" spans="1:11">
      <c r="A250" s="5">
        <v>157</v>
      </c>
      <c r="B250" s="12">
        <v>45328</v>
      </c>
      <c r="C250" s="5">
        <v>688897</v>
      </c>
      <c r="D250" s="5" t="s">
        <v>87</v>
      </c>
      <c r="E250" s="5">
        <v>13</v>
      </c>
      <c r="F250" s="28" t="s">
        <v>387</v>
      </c>
      <c r="G250" t="str">
        <f>VLOOKUP(D250,Proizvodi!$A$1:$F$15,2,FALSE)</f>
        <v>Nameštaj za dnevnu sobu</v>
      </c>
      <c r="H250" t="str">
        <f>VLOOKUP(D250,Proizvodi!$A$1:$F$15,3,FALSE)</f>
        <v>Ormarić za TV</v>
      </c>
      <c r="I250" t="s">
        <v>454</v>
      </c>
      <c r="J250" t="str">
        <f>VLOOKUP(A250,Klijenti!$A$1:$F$11,2,FALSE)</f>
        <v>Stilski Stan</v>
      </c>
      <c r="K250" t="str">
        <f>VLOOKUP(A250,Klijenti!$A$1:$F$11,3,FALSE)</f>
        <v>Vojvodina i Beograd</v>
      </c>
    </row>
    <row r="251" spans="1:11">
      <c r="A251" s="5">
        <v>151</v>
      </c>
      <c r="B251" s="12">
        <v>45322</v>
      </c>
      <c r="C251" s="5">
        <v>443480</v>
      </c>
      <c r="D251" s="5" t="s">
        <v>103</v>
      </c>
      <c r="E251" s="5">
        <v>8</v>
      </c>
      <c r="F251" s="28" t="s">
        <v>388</v>
      </c>
      <c r="G251" t="str">
        <f>VLOOKUP(D251,Proizvodi!$A$1:$F$15,2,FALSE)</f>
        <v>Nameštaj za dnevnu sobu</v>
      </c>
      <c r="H251" t="str">
        <f>VLOOKUP(D251,Proizvodi!$A$1:$F$15,3,FALSE)</f>
        <v>Tabure</v>
      </c>
      <c r="I251" t="s">
        <v>453</v>
      </c>
      <c r="J251" t="str">
        <f>VLOOKUP(A251,Klijenti!$A$1:$F$11,2,FALSE)</f>
        <v>Estetski Kutak</v>
      </c>
      <c r="K251" t="str">
        <f>VLOOKUP(A251,Klijenti!$A$1:$F$11,3,FALSE)</f>
        <v>Srbija</v>
      </c>
    </row>
    <row r="252" spans="1:11">
      <c r="A252" s="5">
        <v>108</v>
      </c>
      <c r="B252" s="12">
        <v>45293</v>
      </c>
      <c r="C252" s="5">
        <v>466126</v>
      </c>
      <c r="D252" s="5" t="s">
        <v>84</v>
      </c>
      <c r="E252" s="5">
        <v>16</v>
      </c>
      <c r="F252" s="28" t="s">
        <v>389</v>
      </c>
      <c r="G252" t="str">
        <f>VLOOKUP(D252,Proizvodi!$A$1:$F$15,2,FALSE)</f>
        <v>Nameštaj za spavaću sobu</v>
      </c>
      <c r="H252" t="str">
        <f>VLOOKUP(D252,Proizvodi!$A$1:$F$15,3,FALSE)</f>
        <v>Noćni ormarić</v>
      </c>
      <c r="I252" t="s">
        <v>452</v>
      </c>
      <c r="J252" t="str">
        <f>VLOOKUP(A252,Klijenti!$A$1:$F$11,2,FALSE)</f>
        <v>Dom &amp; Dekor</v>
      </c>
      <c r="K252" t="str">
        <f>VLOOKUP(A252,Klijenti!$A$1:$F$11,3,FALSE)</f>
        <v>Beogradski region</v>
      </c>
    </row>
    <row r="253" spans="1:11">
      <c r="A253" s="5">
        <v>163</v>
      </c>
      <c r="B253" s="12">
        <v>45346</v>
      </c>
      <c r="C253" s="5">
        <v>443480</v>
      </c>
      <c r="D253" s="5" t="s">
        <v>89</v>
      </c>
      <c r="E253" s="5">
        <v>2</v>
      </c>
      <c r="F253" s="28" t="s">
        <v>390</v>
      </c>
      <c r="G253" t="str">
        <f>VLOOKUP(D253,Proizvodi!$A$1:$F$15,2,FALSE)</f>
        <v>Nameštaj za dnevnu sobu</v>
      </c>
      <c r="H253" t="str">
        <f>VLOOKUP(D253,Proizvodi!$A$1:$F$15,3,FALSE)</f>
        <v>Ogledalo za zid</v>
      </c>
      <c r="I253" t="s">
        <v>453</v>
      </c>
      <c r="J253" t="str">
        <f>VLOOKUP(A253,Klijenti!$A$1:$F$11,2,FALSE)</f>
        <v>Sofistikacija Doma</v>
      </c>
      <c r="K253" t="str">
        <f>VLOOKUP(A253,Klijenti!$A$1:$F$11,3,FALSE)</f>
        <v>Šumadija</v>
      </c>
    </row>
    <row r="254" spans="1:11">
      <c r="A254" s="5">
        <v>151</v>
      </c>
      <c r="B254" s="12">
        <v>45336</v>
      </c>
      <c r="C254" s="5">
        <v>443480</v>
      </c>
      <c r="D254" s="5" t="s">
        <v>100</v>
      </c>
      <c r="E254" s="5">
        <v>8</v>
      </c>
      <c r="F254" s="28" t="s">
        <v>391</v>
      </c>
      <c r="G254" t="str">
        <f>VLOOKUP(D254,Proizvodi!$A$1:$F$15,2,FALSE)</f>
        <v>Trpezarija</v>
      </c>
      <c r="H254" t="str">
        <f>VLOOKUP(D254,Proizvodi!$A$1:$F$15,3,FALSE)</f>
        <v>Stolica za ručavanje</v>
      </c>
      <c r="I254" t="s">
        <v>453</v>
      </c>
      <c r="J254" t="str">
        <f>VLOOKUP(A254,Klijenti!$A$1:$F$11,2,FALSE)</f>
        <v>Estetski Kutak</v>
      </c>
      <c r="K254" t="str">
        <f>VLOOKUP(A254,Klijenti!$A$1:$F$11,3,FALSE)</f>
        <v>Srbija</v>
      </c>
    </row>
    <row r="255" spans="1:11">
      <c r="A255" s="5">
        <v>151</v>
      </c>
      <c r="B255" s="12">
        <v>45321</v>
      </c>
      <c r="C255" s="5">
        <v>443480</v>
      </c>
      <c r="D255" s="5" t="s">
        <v>103</v>
      </c>
      <c r="E255" s="5">
        <v>39</v>
      </c>
      <c r="F255" s="28" t="s">
        <v>392</v>
      </c>
      <c r="G255" t="str">
        <f>VLOOKUP(D255,Proizvodi!$A$1:$F$15,2,FALSE)</f>
        <v>Nameštaj za dnevnu sobu</v>
      </c>
      <c r="H255" t="str">
        <f>VLOOKUP(D255,Proizvodi!$A$1:$F$15,3,FALSE)</f>
        <v>Tabure</v>
      </c>
      <c r="I255" t="s">
        <v>453</v>
      </c>
      <c r="J255" t="str">
        <f>VLOOKUP(A255,Klijenti!$A$1:$F$11,2,FALSE)</f>
        <v>Estetski Kutak</v>
      </c>
      <c r="K255" t="str">
        <f>VLOOKUP(A255,Klijenti!$A$1:$F$11,3,FALSE)</f>
        <v>Srbija</v>
      </c>
    </row>
    <row r="256" spans="1:11">
      <c r="A256" s="5">
        <v>153</v>
      </c>
      <c r="B256" s="12">
        <v>45379</v>
      </c>
      <c r="C256" s="5">
        <v>688897</v>
      </c>
      <c r="D256" s="5" t="s">
        <v>95</v>
      </c>
      <c r="E256" s="5">
        <v>47</v>
      </c>
      <c r="F256" s="28" t="s">
        <v>393</v>
      </c>
      <c r="G256" t="str">
        <f>VLOOKUP(D256,Proizvodi!$A$1:$F$15,2,FALSE)</f>
        <v>Nameštaj za radnu sobu</v>
      </c>
      <c r="H256" t="str">
        <f>VLOOKUP(D256,Proizvodi!$A$1:$F$15,3,FALSE)</f>
        <v>Radni sto</v>
      </c>
      <c r="I256" t="s">
        <v>454</v>
      </c>
      <c r="J256" t="str">
        <f>VLOOKUP(A256,Klijenti!$A$1:$F$11,2,FALSE)</f>
        <v>Udobni Kutak</v>
      </c>
      <c r="K256" t="str">
        <f>VLOOKUP(A256,Klijenti!$A$1:$F$11,3,FALSE)</f>
        <v>Južni region</v>
      </c>
    </row>
    <row r="257" spans="1:11">
      <c r="A257" s="5">
        <v>127</v>
      </c>
      <c r="B257" s="12">
        <v>45379</v>
      </c>
      <c r="C257" s="5">
        <v>171444</v>
      </c>
      <c r="D257" s="5" t="s">
        <v>98</v>
      </c>
      <c r="E257" s="5">
        <v>26</v>
      </c>
      <c r="F257" s="28" t="s">
        <v>394</v>
      </c>
      <c r="G257" t="str">
        <f>VLOOKUP(D257,Proizvodi!$A$1:$F$15,2,FALSE)</f>
        <v>Nameštaj za dnevnu sobu</v>
      </c>
      <c r="H257" t="str">
        <f>VLOOKUP(D257,Proizvodi!$A$1:$F$15,3,FALSE)</f>
        <v>Sofa</v>
      </c>
      <c r="I257" t="s">
        <v>456</v>
      </c>
      <c r="J257" t="str">
        <f>VLOOKUP(A257,Klijenti!$A$1:$F$11,2,FALSE)</f>
        <v>Luksuzni Dizajn</v>
      </c>
      <c r="K257" t="str">
        <f>VLOOKUP(A257,Klijenti!$A$1:$F$11,3,FALSE)</f>
        <v>Vojvodina</v>
      </c>
    </row>
    <row r="258" spans="1:11">
      <c r="A258" s="5">
        <v>186</v>
      </c>
      <c r="B258" s="12">
        <v>45363</v>
      </c>
      <c r="C258" s="5">
        <v>243994</v>
      </c>
      <c r="D258" s="5" t="s">
        <v>89</v>
      </c>
      <c r="E258" s="5">
        <v>29</v>
      </c>
      <c r="F258" s="28" t="s">
        <v>395</v>
      </c>
      <c r="G258" t="str">
        <f>VLOOKUP(D258,Proizvodi!$A$1:$F$15,2,FALSE)</f>
        <v>Nameštaj za dnevnu sobu</v>
      </c>
      <c r="H258" t="str">
        <f>VLOOKUP(D258,Proizvodi!$A$1:$F$15,3,FALSE)</f>
        <v>Ogledalo za zid</v>
      </c>
      <c r="I258" t="s">
        <v>455</v>
      </c>
      <c r="J258" t="str">
        <f>VLOOKUP(A258,Klijenti!$A$1:$F$11,2,FALSE)</f>
        <v>Kuća- Uređenje i Dizajn</v>
      </c>
      <c r="K258" t="str">
        <f>VLOOKUP(A258,Klijenti!$A$1:$F$11,3,FALSE)</f>
        <v>Beogradski region</v>
      </c>
    </row>
    <row r="259" spans="1:11">
      <c r="A259" s="5">
        <v>157</v>
      </c>
      <c r="B259" s="12">
        <v>45359</v>
      </c>
      <c r="C259" s="5">
        <v>688897</v>
      </c>
      <c r="D259" s="5" t="s">
        <v>76</v>
      </c>
      <c r="E259" s="5">
        <v>25</v>
      </c>
      <c r="F259" s="28" t="s">
        <v>396</v>
      </c>
      <c r="G259" t="str">
        <f>VLOOKUP(D259,Proizvodi!$A$1:$F$15,2,FALSE)</f>
        <v>Nameštaj za dnevnu sobu</v>
      </c>
      <c r="H259" t="str">
        <f>VLOOKUP(D259,Proizvodi!$A$1:$F$15,3,FALSE)</f>
        <v>Komoda</v>
      </c>
      <c r="I259" t="s">
        <v>454</v>
      </c>
      <c r="J259" t="str">
        <f>VLOOKUP(A259,Klijenti!$A$1:$F$11,2,FALSE)</f>
        <v>Stilski Stan</v>
      </c>
      <c r="K259" t="str">
        <f>VLOOKUP(A259,Klijenti!$A$1:$F$11,3,FALSE)</f>
        <v>Vojvodina i Beograd</v>
      </c>
    </row>
    <row r="260" spans="1:11">
      <c r="A260" s="5">
        <v>152</v>
      </c>
      <c r="B260" s="12">
        <v>45360</v>
      </c>
      <c r="C260" s="5">
        <v>171444</v>
      </c>
      <c r="D260" s="5" t="s">
        <v>76</v>
      </c>
      <c r="E260" s="5">
        <v>3</v>
      </c>
      <c r="F260" s="28" t="s">
        <v>397</v>
      </c>
      <c r="G260" t="str">
        <f>VLOOKUP(D260,Proizvodi!$A$1:$F$15,2,FALSE)</f>
        <v>Nameštaj za dnevnu sobu</v>
      </c>
      <c r="H260" t="str">
        <f>VLOOKUP(D260,Proizvodi!$A$1:$F$15,3,FALSE)</f>
        <v>Komoda</v>
      </c>
      <c r="I260" t="s">
        <v>456</v>
      </c>
      <c r="J260" t="str">
        <f>VLOOKUP(A260,Klijenti!$A$1:$F$11,2,FALSE)</f>
        <v>Prostor za Uživanje</v>
      </c>
      <c r="K260" t="str">
        <f>VLOOKUP(A260,Klijenti!$A$1:$F$11,3,FALSE)</f>
        <v>Srbija</v>
      </c>
    </row>
    <row r="261" spans="1:11">
      <c r="A261" s="5">
        <v>179</v>
      </c>
      <c r="B261" s="12">
        <v>45350</v>
      </c>
      <c r="C261" s="5">
        <v>243994</v>
      </c>
      <c r="D261" s="5" t="s">
        <v>105</v>
      </c>
      <c r="E261" s="5">
        <v>11</v>
      </c>
      <c r="F261" s="28" t="s">
        <v>398</v>
      </c>
      <c r="G261" t="str">
        <f>VLOOKUP(D261,Proizvodi!$A$1:$F$15,2,FALSE)</f>
        <v>Trpezarija</v>
      </c>
      <c r="H261" t="str">
        <f>VLOOKUP(D261,Proizvodi!$A$1:$F$15,3,FALSE)</f>
        <v>Trpezarijski sto</v>
      </c>
      <c r="I261" t="s">
        <v>455</v>
      </c>
      <c r="J261" t="str">
        <f>VLOOKUP(A261,Klijenti!$A$1:$F$11,2,FALSE)</f>
        <v>Elegantni Enterijeri</v>
      </c>
      <c r="K261" t="str">
        <f>VLOOKUP(A261,Klijenti!$A$1:$F$11,3,FALSE)</f>
        <v>Južni i Šumadijski region</v>
      </c>
    </row>
    <row r="262" spans="1:11">
      <c r="A262" s="5">
        <v>186</v>
      </c>
      <c r="B262" s="12">
        <v>45292</v>
      </c>
      <c r="C262" s="5">
        <v>243994</v>
      </c>
      <c r="D262" s="5" t="s">
        <v>95</v>
      </c>
      <c r="E262" s="5">
        <v>29</v>
      </c>
      <c r="F262" s="28" t="s">
        <v>399</v>
      </c>
      <c r="G262" t="str">
        <f>VLOOKUP(D262,Proizvodi!$A$1:$F$15,2,FALSE)</f>
        <v>Nameštaj za radnu sobu</v>
      </c>
      <c r="H262" t="str">
        <f>VLOOKUP(D262,Proizvodi!$A$1:$F$15,3,FALSE)</f>
        <v>Radni sto</v>
      </c>
      <c r="I262" t="s">
        <v>455</v>
      </c>
      <c r="J262" t="str">
        <f>VLOOKUP(A262,Klijenti!$A$1:$F$11,2,FALSE)</f>
        <v>Kuća- Uređenje i Dizajn</v>
      </c>
      <c r="K262" t="str">
        <f>VLOOKUP(A262,Klijenti!$A$1:$F$11,3,FALSE)</f>
        <v>Beogradski region</v>
      </c>
    </row>
    <row r="263" spans="1:11">
      <c r="A263" s="5">
        <v>186</v>
      </c>
      <c r="B263" s="12">
        <v>45300</v>
      </c>
      <c r="C263" s="5">
        <v>243994</v>
      </c>
      <c r="D263" s="5" t="s">
        <v>107</v>
      </c>
      <c r="E263" s="5">
        <v>33</v>
      </c>
      <c r="F263" s="28" t="s">
        <v>400</v>
      </c>
      <c r="G263" t="str">
        <f>VLOOKUP(D263,Proizvodi!$A$1:$F$15,2,FALSE)</f>
        <v>Kuhinja</v>
      </c>
      <c r="H263" t="str">
        <f>VLOOKUP(D263,Proizvodi!$A$1:$F$15,3,FALSE)</f>
        <v>Viseća polica</v>
      </c>
      <c r="I263" t="s">
        <v>455</v>
      </c>
      <c r="J263" t="str">
        <f>VLOOKUP(A263,Klijenti!$A$1:$F$11,2,FALSE)</f>
        <v>Kuća- Uređenje i Dizajn</v>
      </c>
      <c r="K263" t="str">
        <f>VLOOKUP(A263,Klijenti!$A$1:$F$11,3,FALSE)</f>
        <v>Beogradski region</v>
      </c>
    </row>
    <row r="264" spans="1:11">
      <c r="A264" s="5">
        <v>157</v>
      </c>
      <c r="B264" s="12">
        <v>45357</v>
      </c>
      <c r="C264" s="5">
        <v>688897</v>
      </c>
      <c r="D264" s="5" t="s">
        <v>91</v>
      </c>
      <c r="E264" s="5">
        <v>50</v>
      </c>
      <c r="F264" s="28" t="s">
        <v>401</v>
      </c>
      <c r="G264" t="str">
        <f>VLOOKUP(D264,Proizvodi!$A$1:$F$15,2,FALSE)</f>
        <v>Nameštaj za dnevnu sobu</v>
      </c>
      <c r="H264" t="str">
        <f>VLOOKUP(D264,Proizvodi!$A$1:$F$15,3,FALSE)</f>
        <v>Polica za knjige</v>
      </c>
      <c r="I264" t="s">
        <v>454</v>
      </c>
      <c r="J264" t="str">
        <f>VLOOKUP(A264,Klijenti!$A$1:$F$11,2,FALSE)</f>
        <v>Stilski Stan</v>
      </c>
      <c r="K264" t="str">
        <f>VLOOKUP(A264,Klijenti!$A$1:$F$11,3,FALSE)</f>
        <v>Vojvodina i Beograd</v>
      </c>
    </row>
    <row r="265" spans="1:11">
      <c r="A265" s="5">
        <v>152</v>
      </c>
      <c r="B265" s="12">
        <v>45363</v>
      </c>
      <c r="C265" s="5">
        <v>171444</v>
      </c>
      <c r="D265" s="5" t="s">
        <v>100</v>
      </c>
      <c r="E265" s="5">
        <v>48</v>
      </c>
      <c r="F265" s="28" t="s">
        <v>402</v>
      </c>
      <c r="G265" t="str">
        <f>VLOOKUP(D265,Proizvodi!$A$1:$F$15,2,FALSE)</f>
        <v>Trpezarija</v>
      </c>
      <c r="H265" t="str">
        <f>VLOOKUP(D265,Proizvodi!$A$1:$F$15,3,FALSE)</f>
        <v>Stolica za ručavanje</v>
      </c>
      <c r="I265" t="s">
        <v>456</v>
      </c>
      <c r="J265" t="str">
        <f>VLOOKUP(A265,Klijenti!$A$1:$F$11,2,FALSE)</f>
        <v>Prostor za Uživanje</v>
      </c>
      <c r="K265" t="str">
        <f>VLOOKUP(A265,Klijenti!$A$1:$F$11,3,FALSE)</f>
        <v>Srbija</v>
      </c>
    </row>
    <row r="266" spans="1:11">
      <c r="A266" s="5">
        <v>179</v>
      </c>
      <c r="B266" s="12">
        <v>45308</v>
      </c>
      <c r="C266" s="5">
        <v>243994</v>
      </c>
      <c r="D266" s="5" t="s">
        <v>76</v>
      </c>
      <c r="E266" s="5">
        <v>5</v>
      </c>
      <c r="F266" s="28" t="s">
        <v>403</v>
      </c>
      <c r="G266" t="str">
        <f>VLOOKUP(D266,Proizvodi!$A$1:$F$15,2,FALSE)</f>
        <v>Nameštaj za dnevnu sobu</v>
      </c>
      <c r="H266" t="str">
        <f>VLOOKUP(D266,Proizvodi!$A$1:$F$15,3,FALSE)</f>
        <v>Komoda</v>
      </c>
      <c r="I266" t="s">
        <v>455</v>
      </c>
      <c r="J266" t="str">
        <f>VLOOKUP(A266,Klijenti!$A$1:$F$11,2,FALSE)</f>
        <v>Elegantni Enterijeri</v>
      </c>
      <c r="K266" t="str">
        <f>VLOOKUP(A266,Klijenti!$A$1:$F$11,3,FALSE)</f>
        <v>Južni i Šumadijski region</v>
      </c>
    </row>
    <row r="267" spans="1:11">
      <c r="A267" s="5">
        <v>151</v>
      </c>
      <c r="B267" s="12">
        <v>45341</v>
      </c>
      <c r="C267" s="5">
        <v>443480</v>
      </c>
      <c r="D267" s="5" t="s">
        <v>91</v>
      </c>
      <c r="E267" s="5">
        <v>39</v>
      </c>
      <c r="F267" s="28" t="s">
        <v>404</v>
      </c>
      <c r="G267" t="str">
        <f>VLOOKUP(D267,Proizvodi!$A$1:$F$15,2,FALSE)</f>
        <v>Nameštaj za dnevnu sobu</v>
      </c>
      <c r="H267" t="str">
        <f>VLOOKUP(D267,Proizvodi!$A$1:$F$15,3,FALSE)</f>
        <v>Polica za knjige</v>
      </c>
      <c r="I267" t="s">
        <v>453</v>
      </c>
      <c r="J267" t="str">
        <f>VLOOKUP(A267,Klijenti!$A$1:$F$11,2,FALSE)</f>
        <v>Estetski Kutak</v>
      </c>
      <c r="K267" t="str">
        <f>VLOOKUP(A267,Klijenti!$A$1:$F$11,3,FALSE)</f>
        <v>Srbija</v>
      </c>
    </row>
    <row r="268" spans="1:11">
      <c r="A268" s="5">
        <v>127</v>
      </c>
      <c r="B268" s="12">
        <v>45311</v>
      </c>
      <c r="C268" s="5">
        <v>171444</v>
      </c>
      <c r="D268" s="5" t="s">
        <v>107</v>
      </c>
      <c r="E268" s="5">
        <v>41</v>
      </c>
      <c r="F268" s="28" t="s">
        <v>405</v>
      </c>
      <c r="G268" t="str">
        <f>VLOOKUP(D268,Proizvodi!$A$1:$F$15,2,FALSE)</f>
        <v>Kuhinja</v>
      </c>
      <c r="H268" t="str">
        <f>VLOOKUP(D268,Proizvodi!$A$1:$F$15,3,FALSE)</f>
        <v>Viseća polica</v>
      </c>
      <c r="I268" t="s">
        <v>456</v>
      </c>
      <c r="J268" t="str">
        <f>VLOOKUP(A268,Klijenti!$A$1:$F$11,2,FALSE)</f>
        <v>Luksuzni Dizajn</v>
      </c>
      <c r="K268" t="str">
        <f>VLOOKUP(A268,Klijenti!$A$1:$F$11,3,FALSE)</f>
        <v>Vojvodina</v>
      </c>
    </row>
    <row r="269" spans="1:11">
      <c r="A269" s="5">
        <v>127</v>
      </c>
      <c r="B269" s="12">
        <v>45309</v>
      </c>
      <c r="C269" s="5">
        <v>171444</v>
      </c>
      <c r="D269" s="5" t="s">
        <v>84</v>
      </c>
      <c r="E269" s="5">
        <v>39</v>
      </c>
      <c r="F269" s="28" t="s">
        <v>406</v>
      </c>
      <c r="G269" t="str">
        <f>VLOOKUP(D269,Proizvodi!$A$1:$F$15,2,FALSE)</f>
        <v>Nameštaj za spavaću sobu</v>
      </c>
      <c r="H269" t="str">
        <f>VLOOKUP(D269,Proizvodi!$A$1:$F$15,3,FALSE)</f>
        <v>Noćni ormarić</v>
      </c>
      <c r="I269" t="s">
        <v>456</v>
      </c>
      <c r="J269" t="str">
        <f>VLOOKUP(A269,Klijenti!$A$1:$F$11,2,FALSE)</f>
        <v>Luksuzni Dizajn</v>
      </c>
      <c r="K269" t="str">
        <f>VLOOKUP(A269,Klijenti!$A$1:$F$11,3,FALSE)</f>
        <v>Vojvodina</v>
      </c>
    </row>
    <row r="270" spans="1:11">
      <c r="A270" s="5">
        <v>157</v>
      </c>
      <c r="B270" s="12">
        <v>45342</v>
      </c>
      <c r="C270" s="5">
        <v>688897</v>
      </c>
      <c r="D270" s="5" t="s">
        <v>103</v>
      </c>
      <c r="E270" s="5">
        <v>5</v>
      </c>
      <c r="F270" s="28" t="s">
        <v>407</v>
      </c>
      <c r="G270" t="str">
        <f>VLOOKUP(D270,Proizvodi!$A$1:$F$15,2,FALSE)</f>
        <v>Nameštaj za dnevnu sobu</v>
      </c>
      <c r="H270" t="str">
        <f>VLOOKUP(D270,Proizvodi!$A$1:$F$15,3,FALSE)</f>
        <v>Tabure</v>
      </c>
      <c r="I270" t="s">
        <v>454</v>
      </c>
      <c r="J270" t="str">
        <f>VLOOKUP(A270,Klijenti!$A$1:$F$11,2,FALSE)</f>
        <v>Stilski Stan</v>
      </c>
      <c r="K270" t="str">
        <f>VLOOKUP(A270,Klijenti!$A$1:$F$11,3,FALSE)</f>
        <v>Vojvodina i Beograd</v>
      </c>
    </row>
    <row r="271" spans="1:11">
      <c r="A271" s="5">
        <v>179</v>
      </c>
      <c r="B271" s="12">
        <v>45329</v>
      </c>
      <c r="C271" s="5">
        <v>243994</v>
      </c>
      <c r="D271" s="5" t="s">
        <v>100</v>
      </c>
      <c r="E271" s="5">
        <v>40</v>
      </c>
      <c r="F271" s="28" t="s">
        <v>408</v>
      </c>
      <c r="G271" t="str">
        <f>VLOOKUP(D271,Proizvodi!$A$1:$F$15,2,FALSE)</f>
        <v>Trpezarija</v>
      </c>
      <c r="H271" t="str">
        <f>VLOOKUP(D271,Proizvodi!$A$1:$F$15,3,FALSE)</f>
        <v>Stolica za ručavanje</v>
      </c>
      <c r="I271" t="s">
        <v>455</v>
      </c>
      <c r="J271" t="str">
        <f>VLOOKUP(A271,Klijenti!$A$1:$F$11,2,FALSE)</f>
        <v>Elegantni Enterijeri</v>
      </c>
      <c r="K271" t="str">
        <f>VLOOKUP(A271,Klijenti!$A$1:$F$11,3,FALSE)</f>
        <v>Južni i Šumadijski region</v>
      </c>
    </row>
    <row r="272" spans="1:11">
      <c r="A272" s="5">
        <v>151</v>
      </c>
      <c r="B272" s="12">
        <v>45338</v>
      </c>
      <c r="C272" s="5">
        <v>443480</v>
      </c>
      <c r="D272" s="5" t="s">
        <v>87</v>
      </c>
      <c r="E272" s="5">
        <v>12</v>
      </c>
      <c r="F272" s="28" t="s">
        <v>409</v>
      </c>
      <c r="G272" t="str">
        <f>VLOOKUP(D272,Proizvodi!$A$1:$F$15,2,FALSE)</f>
        <v>Nameštaj za dnevnu sobu</v>
      </c>
      <c r="H272" t="str">
        <f>VLOOKUP(D272,Proizvodi!$A$1:$F$15,3,FALSE)</f>
        <v>Ormarić za TV</v>
      </c>
      <c r="I272" t="s">
        <v>453</v>
      </c>
      <c r="J272" t="str">
        <f>VLOOKUP(A272,Klijenti!$A$1:$F$11,2,FALSE)</f>
        <v>Estetski Kutak</v>
      </c>
      <c r="K272" t="str">
        <f>VLOOKUP(A272,Klijenti!$A$1:$F$11,3,FALSE)</f>
        <v>Srbija</v>
      </c>
    </row>
    <row r="273" spans="1:11">
      <c r="A273" s="5">
        <v>108</v>
      </c>
      <c r="B273" s="12">
        <v>45353</v>
      </c>
      <c r="C273" s="5">
        <v>466126</v>
      </c>
      <c r="D273" s="5" t="s">
        <v>95</v>
      </c>
      <c r="E273" s="5">
        <v>10</v>
      </c>
      <c r="F273" s="28" t="s">
        <v>410</v>
      </c>
      <c r="G273" t="str">
        <f>VLOOKUP(D273,Proizvodi!$A$1:$F$15,2,FALSE)</f>
        <v>Nameštaj za radnu sobu</v>
      </c>
      <c r="H273" t="str">
        <f>VLOOKUP(D273,Proizvodi!$A$1:$F$15,3,FALSE)</f>
        <v>Radni sto</v>
      </c>
      <c r="I273" t="s">
        <v>452</v>
      </c>
      <c r="J273" t="str">
        <f>VLOOKUP(A273,Klijenti!$A$1:$F$11,2,FALSE)</f>
        <v>Dom &amp; Dekor</v>
      </c>
      <c r="K273" t="str">
        <f>VLOOKUP(A273,Klijenti!$A$1:$F$11,3,FALSE)</f>
        <v>Beogradski region</v>
      </c>
    </row>
    <row r="274" spans="1:11">
      <c r="A274" s="5">
        <v>108</v>
      </c>
      <c r="B274" s="12">
        <v>45295</v>
      </c>
      <c r="C274" s="5">
        <v>466126</v>
      </c>
      <c r="D274" s="5" t="s">
        <v>98</v>
      </c>
      <c r="E274" s="5">
        <v>39</v>
      </c>
      <c r="F274" s="28" t="s">
        <v>411</v>
      </c>
      <c r="G274" t="str">
        <f>VLOOKUP(D274,Proizvodi!$A$1:$F$15,2,FALSE)</f>
        <v>Nameštaj za dnevnu sobu</v>
      </c>
      <c r="H274" t="str">
        <f>VLOOKUP(D274,Proizvodi!$A$1:$F$15,3,FALSE)</f>
        <v>Sofa</v>
      </c>
      <c r="I274" t="s">
        <v>452</v>
      </c>
      <c r="J274" t="str">
        <f>VLOOKUP(A274,Klijenti!$A$1:$F$11,2,FALSE)</f>
        <v>Dom &amp; Dekor</v>
      </c>
      <c r="K274" t="str">
        <f>VLOOKUP(A274,Klijenti!$A$1:$F$11,3,FALSE)</f>
        <v>Beogradski region</v>
      </c>
    </row>
    <row r="275" spans="1:11">
      <c r="A275" s="5">
        <v>163</v>
      </c>
      <c r="B275" s="12">
        <v>45344</v>
      </c>
      <c r="C275" s="5">
        <v>443480</v>
      </c>
      <c r="D275" s="5" t="s">
        <v>107</v>
      </c>
      <c r="E275" s="5">
        <v>14</v>
      </c>
      <c r="F275" s="28" t="s">
        <v>412</v>
      </c>
      <c r="G275" t="str">
        <f>VLOOKUP(D275,Proizvodi!$A$1:$F$15,2,FALSE)</f>
        <v>Kuhinja</v>
      </c>
      <c r="H275" t="str">
        <f>VLOOKUP(D275,Proizvodi!$A$1:$F$15,3,FALSE)</f>
        <v>Viseća polica</v>
      </c>
      <c r="I275" t="s">
        <v>453</v>
      </c>
      <c r="J275" t="str">
        <f>VLOOKUP(A275,Klijenti!$A$1:$F$11,2,FALSE)</f>
        <v>Sofistikacija Doma</v>
      </c>
      <c r="K275" t="str">
        <f>VLOOKUP(A275,Klijenti!$A$1:$F$11,3,FALSE)</f>
        <v>Šumadija</v>
      </c>
    </row>
    <row r="276" spans="1:11">
      <c r="A276" s="5">
        <v>127</v>
      </c>
      <c r="B276" s="12">
        <v>45330</v>
      </c>
      <c r="C276" s="5">
        <v>171444</v>
      </c>
      <c r="D276" s="5" t="s">
        <v>89</v>
      </c>
      <c r="E276" s="5">
        <v>42</v>
      </c>
      <c r="F276" s="28" t="s">
        <v>413</v>
      </c>
      <c r="G276" t="str">
        <f>VLOOKUP(D276,Proizvodi!$A$1:$F$15,2,FALSE)</f>
        <v>Nameštaj za dnevnu sobu</v>
      </c>
      <c r="H276" t="str">
        <f>VLOOKUP(D276,Proizvodi!$A$1:$F$15,3,FALSE)</f>
        <v>Ogledalo za zid</v>
      </c>
      <c r="I276" t="s">
        <v>456</v>
      </c>
      <c r="J276" t="str">
        <f>VLOOKUP(A276,Klijenti!$A$1:$F$11,2,FALSE)</f>
        <v>Luksuzni Dizajn</v>
      </c>
      <c r="K276" t="str">
        <f>VLOOKUP(A276,Klijenti!$A$1:$F$11,3,FALSE)</f>
        <v>Vojvodina</v>
      </c>
    </row>
    <row r="277" spans="1:11">
      <c r="A277" s="5">
        <v>195</v>
      </c>
      <c r="B277" s="12">
        <v>45331</v>
      </c>
      <c r="C277" s="5">
        <v>466126</v>
      </c>
      <c r="D277" s="5" t="s">
        <v>105</v>
      </c>
      <c r="E277" s="5">
        <v>9</v>
      </c>
      <c r="F277" s="28" t="s">
        <v>414</v>
      </c>
      <c r="G277" t="str">
        <f>VLOOKUP(D277,Proizvodi!$A$1:$F$15,2,FALSE)</f>
        <v>Trpezarija</v>
      </c>
      <c r="H277" t="str">
        <f>VLOOKUP(D277,Proizvodi!$A$1:$F$15,3,FALSE)</f>
        <v>Trpezarijski sto</v>
      </c>
      <c r="I277" t="s">
        <v>452</v>
      </c>
      <c r="J277" t="str">
        <f>VLOOKUP(A277,Klijenti!$A$1:$F$11,2,FALSE)</f>
        <v>Moderni Dom</v>
      </c>
      <c r="K277" t="str">
        <f>VLOOKUP(A277,Klijenti!$A$1:$F$11,3,FALSE)</f>
        <v>Srbija</v>
      </c>
    </row>
    <row r="278" spans="1:11">
      <c r="A278" s="5">
        <v>108</v>
      </c>
      <c r="B278" s="12">
        <v>45339</v>
      </c>
      <c r="C278" s="5">
        <v>466126</v>
      </c>
      <c r="D278" s="5" t="s">
        <v>107</v>
      </c>
      <c r="E278" s="5">
        <v>3</v>
      </c>
      <c r="F278" s="28" t="s">
        <v>415</v>
      </c>
      <c r="G278" t="str">
        <f>VLOOKUP(D278,Proizvodi!$A$1:$F$15,2,FALSE)</f>
        <v>Kuhinja</v>
      </c>
      <c r="H278" t="str">
        <f>VLOOKUP(D278,Proizvodi!$A$1:$F$15,3,FALSE)</f>
        <v>Viseća polica</v>
      </c>
      <c r="I278" t="s">
        <v>452</v>
      </c>
      <c r="J278" t="str">
        <f>VLOOKUP(A278,Klijenti!$A$1:$F$11,2,FALSE)</f>
        <v>Dom &amp; Dekor</v>
      </c>
      <c r="K278" t="str">
        <f>VLOOKUP(A278,Klijenti!$A$1:$F$11,3,FALSE)</f>
        <v>Beogradski region</v>
      </c>
    </row>
    <row r="279" spans="1:11">
      <c r="A279" s="5">
        <v>127</v>
      </c>
      <c r="B279" s="12">
        <v>45316</v>
      </c>
      <c r="C279" s="5">
        <v>171444</v>
      </c>
      <c r="D279" s="5" t="s">
        <v>98</v>
      </c>
      <c r="E279" s="5">
        <v>48</v>
      </c>
      <c r="F279" s="28" t="s">
        <v>416</v>
      </c>
      <c r="G279" t="str">
        <f>VLOOKUP(D279,Proizvodi!$A$1:$F$15,2,FALSE)</f>
        <v>Nameštaj za dnevnu sobu</v>
      </c>
      <c r="H279" t="str">
        <f>VLOOKUP(D279,Proizvodi!$A$1:$F$15,3,FALSE)</f>
        <v>Sofa</v>
      </c>
      <c r="I279" t="s">
        <v>456</v>
      </c>
      <c r="J279" t="str">
        <f>VLOOKUP(A279,Klijenti!$A$1:$F$11,2,FALSE)</f>
        <v>Luksuzni Dizajn</v>
      </c>
      <c r="K279" t="str">
        <f>VLOOKUP(A279,Klijenti!$A$1:$F$11,3,FALSE)</f>
        <v>Vojvodina</v>
      </c>
    </row>
    <row r="280" spans="1:11">
      <c r="A280" s="5">
        <v>186</v>
      </c>
      <c r="B280" s="12">
        <v>45356</v>
      </c>
      <c r="C280" s="5">
        <v>243994</v>
      </c>
      <c r="D280" s="5" t="s">
        <v>107</v>
      </c>
      <c r="E280" s="5">
        <v>46</v>
      </c>
      <c r="F280" s="28" t="s">
        <v>417</v>
      </c>
      <c r="G280" t="str">
        <f>VLOOKUP(D280,Proizvodi!$A$1:$F$15,2,FALSE)</f>
        <v>Kuhinja</v>
      </c>
      <c r="H280" t="str">
        <f>VLOOKUP(D280,Proizvodi!$A$1:$F$15,3,FALSE)</f>
        <v>Viseća polica</v>
      </c>
      <c r="I280" t="s">
        <v>455</v>
      </c>
      <c r="J280" t="str">
        <f>VLOOKUP(A280,Klijenti!$A$1:$F$11,2,FALSE)</f>
        <v>Kuća- Uređenje i Dizajn</v>
      </c>
      <c r="K280" t="str">
        <f>VLOOKUP(A280,Klijenti!$A$1:$F$11,3,FALSE)</f>
        <v>Beogradski region</v>
      </c>
    </row>
    <row r="281" spans="1:11">
      <c r="A281" s="5">
        <v>163</v>
      </c>
      <c r="B281" s="12">
        <v>45297</v>
      </c>
      <c r="C281" s="5">
        <v>443480</v>
      </c>
      <c r="D281" s="5" t="s">
        <v>98</v>
      </c>
      <c r="E281" s="5">
        <v>34</v>
      </c>
      <c r="F281" s="28" t="s">
        <v>418</v>
      </c>
      <c r="G281" t="str">
        <f>VLOOKUP(D281,Proizvodi!$A$1:$F$15,2,FALSE)</f>
        <v>Nameštaj za dnevnu sobu</v>
      </c>
      <c r="H281" t="str">
        <f>VLOOKUP(D281,Proizvodi!$A$1:$F$15,3,FALSE)</f>
        <v>Sofa</v>
      </c>
      <c r="I281" t="s">
        <v>453</v>
      </c>
      <c r="J281" t="str">
        <f>VLOOKUP(A281,Klijenti!$A$1:$F$11,2,FALSE)</f>
        <v>Sofistikacija Doma</v>
      </c>
      <c r="K281" t="str">
        <f>VLOOKUP(A281,Klijenti!$A$1:$F$11,3,FALSE)</f>
        <v>Šumadija</v>
      </c>
    </row>
    <row r="282" spans="1:11">
      <c r="A282" s="5">
        <v>186</v>
      </c>
      <c r="B282" s="12">
        <v>45338</v>
      </c>
      <c r="C282" s="5">
        <v>243994</v>
      </c>
      <c r="D282" s="5" t="s">
        <v>95</v>
      </c>
      <c r="E282" s="5">
        <v>33</v>
      </c>
      <c r="F282" s="28" t="s">
        <v>419</v>
      </c>
      <c r="G282" t="str">
        <f>VLOOKUP(D282,Proizvodi!$A$1:$F$15,2,FALSE)</f>
        <v>Nameštaj za radnu sobu</v>
      </c>
      <c r="H282" t="str">
        <f>VLOOKUP(D282,Proizvodi!$A$1:$F$15,3,FALSE)</f>
        <v>Radni sto</v>
      </c>
      <c r="I282" t="s">
        <v>455</v>
      </c>
      <c r="J282" t="str">
        <f>VLOOKUP(A282,Klijenti!$A$1:$F$11,2,FALSE)</f>
        <v>Kuća- Uređenje i Dizajn</v>
      </c>
      <c r="K282" t="str">
        <f>VLOOKUP(A282,Klijenti!$A$1:$F$11,3,FALSE)</f>
        <v>Beogradski region</v>
      </c>
    </row>
    <row r="283" spans="1:11">
      <c r="A283" s="5">
        <v>195</v>
      </c>
      <c r="B283" s="12">
        <v>45361</v>
      </c>
      <c r="C283" s="5">
        <v>466126</v>
      </c>
      <c r="D283" s="5" t="s">
        <v>87</v>
      </c>
      <c r="E283" s="5">
        <v>12</v>
      </c>
      <c r="F283" s="28" t="s">
        <v>420</v>
      </c>
      <c r="G283" t="str">
        <f>VLOOKUP(D283,Proizvodi!$A$1:$F$15,2,FALSE)</f>
        <v>Nameštaj za dnevnu sobu</v>
      </c>
      <c r="H283" t="str">
        <f>VLOOKUP(D283,Proizvodi!$A$1:$F$15,3,FALSE)</f>
        <v>Ormarić za TV</v>
      </c>
      <c r="I283" t="s">
        <v>452</v>
      </c>
      <c r="J283" t="str">
        <f>VLOOKUP(A283,Klijenti!$A$1:$F$11,2,FALSE)</f>
        <v>Moderni Dom</v>
      </c>
      <c r="K283" t="str">
        <f>VLOOKUP(A283,Klijenti!$A$1:$F$11,3,FALSE)</f>
        <v>Srbija</v>
      </c>
    </row>
    <row r="284" spans="1:11">
      <c r="A284" s="5">
        <v>179</v>
      </c>
      <c r="B284" s="12">
        <v>45308</v>
      </c>
      <c r="C284" s="5">
        <v>243994</v>
      </c>
      <c r="D284" s="5" t="s">
        <v>79</v>
      </c>
      <c r="E284" s="5">
        <v>6</v>
      </c>
      <c r="F284" s="28" t="s">
        <v>421</v>
      </c>
      <c r="G284" t="str">
        <f>VLOOKUP(D284,Proizvodi!$A$1:$F$15,2,FALSE)</f>
        <v>Kuhinja</v>
      </c>
      <c r="H284" t="str">
        <f>VLOOKUP(D284,Proizvodi!$A$1:$F$15,3,FALSE)</f>
        <v>Kuhinjsko ostrvo</v>
      </c>
      <c r="I284" t="s">
        <v>455</v>
      </c>
      <c r="J284" t="str">
        <f>VLOOKUP(A284,Klijenti!$A$1:$F$11,2,FALSE)</f>
        <v>Elegantni Enterijeri</v>
      </c>
      <c r="K284" t="str">
        <f>VLOOKUP(A284,Klijenti!$A$1:$F$11,3,FALSE)</f>
        <v>Južni i Šumadijski region</v>
      </c>
    </row>
    <row r="285" spans="1:11">
      <c r="A285" s="5">
        <v>163</v>
      </c>
      <c r="B285" s="12">
        <v>45334</v>
      </c>
      <c r="C285" s="5">
        <v>443480</v>
      </c>
      <c r="D285" s="5" t="s">
        <v>107</v>
      </c>
      <c r="E285" s="5">
        <v>40</v>
      </c>
      <c r="F285" s="28" t="s">
        <v>422</v>
      </c>
      <c r="G285" t="str">
        <f>VLOOKUP(D285,Proizvodi!$A$1:$F$15,2,FALSE)</f>
        <v>Kuhinja</v>
      </c>
      <c r="H285" t="str">
        <f>VLOOKUP(D285,Proizvodi!$A$1:$F$15,3,FALSE)</f>
        <v>Viseća polica</v>
      </c>
      <c r="I285" t="s">
        <v>453</v>
      </c>
      <c r="J285" t="str">
        <f>VLOOKUP(A285,Klijenti!$A$1:$F$11,2,FALSE)</f>
        <v>Sofistikacija Doma</v>
      </c>
      <c r="K285" t="str">
        <f>VLOOKUP(A285,Klijenti!$A$1:$F$11,3,FALSE)</f>
        <v>Šumadija</v>
      </c>
    </row>
    <row r="286" spans="1:11">
      <c r="A286" s="5">
        <v>163</v>
      </c>
      <c r="B286" s="12">
        <v>45319</v>
      </c>
      <c r="C286" s="5">
        <v>443480</v>
      </c>
      <c r="D286" s="5" t="s">
        <v>84</v>
      </c>
      <c r="E286" s="5">
        <v>5</v>
      </c>
      <c r="F286" s="28" t="s">
        <v>423</v>
      </c>
      <c r="G286" t="str">
        <f>VLOOKUP(D286,Proizvodi!$A$1:$F$15,2,FALSE)</f>
        <v>Nameštaj za spavaću sobu</v>
      </c>
      <c r="H286" t="str">
        <f>VLOOKUP(D286,Proizvodi!$A$1:$F$15,3,FALSE)</f>
        <v>Noćni ormarić</v>
      </c>
      <c r="I286" t="s">
        <v>453</v>
      </c>
      <c r="J286" t="str">
        <f>VLOOKUP(A286,Klijenti!$A$1:$F$11,2,FALSE)</f>
        <v>Sofistikacija Doma</v>
      </c>
      <c r="K286" t="str">
        <f>VLOOKUP(A286,Klijenti!$A$1:$F$11,3,FALSE)</f>
        <v>Šumadija</v>
      </c>
    </row>
    <row r="287" spans="1:11">
      <c r="A287" s="5">
        <v>179</v>
      </c>
      <c r="B287" s="12">
        <v>45359</v>
      </c>
      <c r="C287" s="5">
        <v>243994</v>
      </c>
      <c r="D287" s="5" t="s">
        <v>100</v>
      </c>
      <c r="E287" s="5">
        <v>13</v>
      </c>
      <c r="F287" s="28" t="s">
        <v>424</v>
      </c>
      <c r="G287" t="str">
        <f>VLOOKUP(D287,Proizvodi!$A$1:$F$15,2,FALSE)</f>
        <v>Trpezarija</v>
      </c>
      <c r="H287" t="str">
        <f>VLOOKUP(D287,Proizvodi!$A$1:$F$15,3,FALSE)</f>
        <v>Stolica za ručavanje</v>
      </c>
      <c r="I287" t="s">
        <v>455</v>
      </c>
      <c r="J287" t="str">
        <f>VLOOKUP(A287,Klijenti!$A$1:$F$11,2,FALSE)</f>
        <v>Elegantni Enterijeri</v>
      </c>
      <c r="K287" t="str">
        <f>VLOOKUP(A287,Klijenti!$A$1:$F$11,3,FALSE)</f>
        <v>Južni i Šumadijski region</v>
      </c>
    </row>
    <row r="288" spans="1:11">
      <c r="A288" s="5">
        <v>186</v>
      </c>
      <c r="B288" s="12">
        <v>45303</v>
      </c>
      <c r="C288" s="5">
        <v>171444</v>
      </c>
      <c r="D288" s="5" t="s">
        <v>89</v>
      </c>
      <c r="E288" s="5">
        <v>42</v>
      </c>
      <c r="F288" s="28" t="s">
        <v>425</v>
      </c>
      <c r="G288" t="str">
        <f>VLOOKUP(D288,Proizvodi!$A$1:$F$15,2,FALSE)</f>
        <v>Nameštaj za dnevnu sobu</v>
      </c>
      <c r="H288" t="str">
        <f>VLOOKUP(D288,Proizvodi!$A$1:$F$15,3,FALSE)</f>
        <v>Ogledalo za zid</v>
      </c>
      <c r="I288" t="s">
        <v>456</v>
      </c>
      <c r="J288" t="str">
        <f>VLOOKUP(A288,Klijenti!$A$1:$F$11,2,FALSE)</f>
        <v>Kuća- Uređenje i Dizajn</v>
      </c>
      <c r="K288" t="str">
        <f>VLOOKUP(A288,Klijenti!$A$1:$F$11,3,FALSE)</f>
        <v>Beogradski region</v>
      </c>
    </row>
    <row r="289" spans="1:11">
      <c r="A289" s="5">
        <v>152</v>
      </c>
      <c r="B289" s="12">
        <v>45373</v>
      </c>
      <c r="C289" s="5">
        <v>171444</v>
      </c>
      <c r="D289" s="5" t="s">
        <v>100</v>
      </c>
      <c r="E289" s="5">
        <v>45</v>
      </c>
      <c r="F289" s="28" t="s">
        <v>426</v>
      </c>
      <c r="G289" t="str">
        <f>VLOOKUP(D289,Proizvodi!$A$1:$F$15,2,FALSE)</f>
        <v>Trpezarija</v>
      </c>
      <c r="H289" t="str">
        <f>VLOOKUP(D289,Proizvodi!$A$1:$F$15,3,FALSE)</f>
        <v>Stolica za ručavanje</v>
      </c>
      <c r="I289" t="s">
        <v>456</v>
      </c>
      <c r="J289" t="str">
        <f>VLOOKUP(A289,Klijenti!$A$1:$F$11,2,FALSE)</f>
        <v>Prostor za Uživanje</v>
      </c>
      <c r="K289" t="str">
        <f>VLOOKUP(A289,Klijenti!$A$1:$F$11,3,FALSE)</f>
        <v>Srbija</v>
      </c>
    </row>
    <row r="290" spans="1:11">
      <c r="A290" s="5">
        <v>153</v>
      </c>
      <c r="B290" s="12">
        <v>45352</v>
      </c>
      <c r="C290" s="5">
        <v>688897</v>
      </c>
      <c r="D290" s="5" t="s">
        <v>95</v>
      </c>
      <c r="E290" s="5">
        <v>48</v>
      </c>
      <c r="F290" s="28" t="s">
        <v>427</v>
      </c>
      <c r="G290" t="str">
        <f>VLOOKUP(D290,Proizvodi!$A$1:$F$15,2,FALSE)</f>
        <v>Nameštaj za radnu sobu</v>
      </c>
      <c r="H290" t="str">
        <f>VLOOKUP(D290,Proizvodi!$A$1:$F$15,3,FALSE)</f>
        <v>Radni sto</v>
      </c>
      <c r="I290" t="s">
        <v>454</v>
      </c>
      <c r="J290" t="str">
        <f>VLOOKUP(A290,Klijenti!$A$1:$F$11,2,FALSE)</f>
        <v>Udobni Kutak</v>
      </c>
      <c r="K290" t="str">
        <f>VLOOKUP(A290,Klijenti!$A$1:$F$11,3,FALSE)</f>
        <v>Južni region</v>
      </c>
    </row>
    <row r="291" spans="1:11">
      <c r="A291" s="5">
        <v>195</v>
      </c>
      <c r="B291" s="12">
        <v>45295</v>
      </c>
      <c r="C291" s="5">
        <v>466126</v>
      </c>
      <c r="D291" s="5" t="s">
        <v>79</v>
      </c>
      <c r="E291" s="5">
        <v>12</v>
      </c>
      <c r="F291" s="28" t="s">
        <v>428</v>
      </c>
      <c r="G291" t="str">
        <f>VLOOKUP(D291,Proizvodi!$A$1:$F$15,2,FALSE)</f>
        <v>Kuhinja</v>
      </c>
      <c r="H291" t="str">
        <f>VLOOKUP(D291,Proizvodi!$A$1:$F$15,3,FALSE)</f>
        <v>Kuhinjsko ostrvo</v>
      </c>
      <c r="I291" t="s">
        <v>452</v>
      </c>
      <c r="J291" t="str">
        <f>VLOOKUP(A291,Klijenti!$A$1:$F$11,2,FALSE)</f>
        <v>Moderni Dom</v>
      </c>
      <c r="K291" t="str">
        <f>VLOOKUP(A291,Klijenti!$A$1:$F$11,3,FALSE)</f>
        <v>Srbija</v>
      </c>
    </row>
    <row r="292" spans="1:11">
      <c r="A292" s="5">
        <v>195</v>
      </c>
      <c r="B292" s="12">
        <v>45317</v>
      </c>
      <c r="C292" s="5">
        <v>466126</v>
      </c>
      <c r="D292" s="5" t="s">
        <v>76</v>
      </c>
      <c r="E292" s="5">
        <v>48</v>
      </c>
      <c r="F292" s="28" t="s">
        <v>429</v>
      </c>
      <c r="G292" t="str">
        <f>VLOOKUP(D292,Proizvodi!$A$1:$F$15,2,FALSE)</f>
        <v>Nameštaj za dnevnu sobu</v>
      </c>
      <c r="H292" t="str">
        <f>VLOOKUP(D292,Proizvodi!$A$1:$F$15,3,FALSE)</f>
        <v>Komoda</v>
      </c>
      <c r="I292" t="s">
        <v>452</v>
      </c>
      <c r="J292" t="str">
        <f>VLOOKUP(A292,Klijenti!$A$1:$F$11,2,FALSE)</f>
        <v>Moderni Dom</v>
      </c>
      <c r="K292" t="str">
        <f>VLOOKUP(A292,Klijenti!$A$1:$F$11,3,FALSE)</f>
        <v>Srbija</v>
      </c>
    </row>
    <row r="293" spans="1:11">
      <c r="A293" s="5">
        <v>163</v>
      </c>
      <c r="B293" s="12">
        <v>45345</v>
      </c>
      <c r="C293" s="5">
        <v>443480</v>
      </c>
      <c r="D293" s="5" t="s">
        <v>89</v>
      </c>
      <c r="E293" s="5">
        <v>39</v>
      </c>
      <c r="F293" s="28" t="s">
        <v>430</v>
      </c>
      <c r="G293" t="str">
        <f>VLOOKUP(D293,Proizvodi!$A$1:$F$15,2,FALSE)</f>
        <v>Nameštaj za dnevnu sobu</v>
      </c>
      <c r="H293" t="str">
        <f>VLOOKUP(D293,Proizvodi!$A$1:$F$15,3,FALSE)</f>
        <v>Ogledalo za zid</v>
      </c>
      <c r="I293" t="s">
        <v>453</v>
      </c>
      <c r="J293" t="str">
        <f>VLOOKUP(A293,Klijenti!$A$1:$F$11,2,FALSE)</f>
        <v>Sofistikacija Doma</v>
      </c>
      <c r="K293" t="str">
        <f>VLOOKUP(A293,Klijenti!$A$1:$F$11,3,FALSE)</f>
        <v>Šumadija</v>
      </c>
    </row>
    <row r="294" spans="1:11">
      <c r="A294" s="5">
        <v>186</v>
      </c>
      <c r="B294" s="12">
        <v>45336</v>
      </c>
      <c r="C294" s="5">
        <v>243994</v>
      </c>
      <c r="D294" s="5" t="s">
        <v>95</v>
      </c>
      <c r="E294" s="5">
        <v>49</v>
      </c>
      <c r="F294" s="28" t="s">
        <v>431</v>
      </c>
      <c r="G294" t="str">
        <f>VLOOKUP(D294,Proizvodi!$A$1:$F$15,2,FALSE)</f>
        <v>Nameštaj za radnu sobu</v>
      </c>
      <c r="H294" t="str">
        <f>VLOOKUP(D294,Proizvodi!$A$1:$F$15,3,FALSE)</f>
        <v>Radni sto</v>
      </c>
      <c r="I294" t="s">
        <v>455</v>
      </c>
      <c r="J294" t="str">
        <f>VLOOKUP(A294,Klijenti!$A$1:$F$11,2,FALSE)</f>
        <v>Kuća- Uređenje i Dizajn</v>
      </c>
      <c r="K294" t="str">
        <f>VLOOKUP(A294,Klijenti!$A$1:$F$11,3,FALSE)</f>
        <v>Beogradski region</v>
      </c>
    </row>
    <row r="295" spans="1:11">
      <c r="A295" s="5">
        <v>108</v>
      </c>
      <c r="B295" s="12">
        <v>45339</v>
      </c>
      <c r="C295" s="5">
        <v>466126</v>
      </c>
      <c r="D295" s="5" t="s">
        <v>89</v>
      </c>
      <c r="E295" s="5">
        <v>29</v>
      </c>
      <c r="F295" s="28" t="s">
        <v>432</v>
      </c>
      <c r="G295" t="str">
        <f>VLOOKUP(D295,Proizvodi!$A$1:$F$15,2,FALSE)</f>
        <v>Nameštaj za dnevnu sobu</v>
      </c>
      <c r="H295" t="str">
        <f>VLOOKUP(D295,Proizvodi!$A$1:$F$15,3,FALSE)</f>
        <v>Ogledalo za zid</v>
      </c>
      <c r="I295" t="s">
        <v>452</v>
      </c>
      <c r="J295" t="str">
        <f>VLOOKUP(A295,Klijenti!$A$1:$F$11,2,FALSE)</f>
        <v>Dom &amp; Dekor</v>
      </c>
      <c r="K295" t="str">
        <f>VLOOKUP(A295,Klijenti!$A$1:$F$11,3,FALSE)</f>
        <v>Beogradski region</v>
      </c>
    </row>
    <row r="296" spans="1:11">
      <c r="A296" s="5">
        <v>127</v>
      </c>
      <c r="B296" s="12">
        <v>45331</v>
      </c>
      <c r="C296" s="5">
        <v>171444</v>
      </c>
      <c r="D296" s="5" t="s">
        <v>98</v>
      </c>
      <c r="E296" s="5">
        <v>50</v>
      </c>
      <c r="F296" s="28" t="s">
        <v>433</v>
      </c>
      <c r="G296" t="str">
        <f>VLOOKUP(D296,Proizvodi!$A$1:$F$15,2,FALSE)</f>
        <v>Nameštaj za dnevnu sobu</v>
      </c>
      <c r="H296" t="str">
        <f>VLOOKUP(D296,Proizvodi!$A$1:$F$15,3,FALSE)</f>
        <v>Sofa</v>
      </c>
      <c r="I296" t="s">
        <v>456</v>
      </c>
      <c r="J296" t="str">
        <f>VLOOKUP(A296,Klijenti!$A$1:$F$11,2,FALSE)</f>
        <v>Luksuzni Dizajn</v>
      </c>
      <c r="K296" t="str">
        <f>VLOOKUP(A296,Klijenti!$A$1:$F$11,3,FALSE)</f>
        <v>Vojvodina</v>
      </c>
    </row>
    <row r="297" spans="1:11">
      <c r="A297" s="5">
        <v>151</v>
      </c>
      <c r="B297" s="12">
        <v>45355</v>
      </c>
      <c r="C297" s="5">
        <v>443480</v>
      </c>
      <c r="D297" s="5" t="s">
        <v>76</v>
      </c>
      <c r="E297" s="5">
        <v>43</v>
      </c>
      <c r="F297" s="28" t="s">
        <v>434</v>
      </c>
      <c r="G297" t="str">
        <f>VLOOKUP(D297,Proizvodi!$A$1:$F$15,2,FALSE)</f>
        <v>Nameštaj za dnevnu sobu</v>
      </c>
      <c r="H297" t="str">
        <f>VLOOKUP(D297,Proizvodi!$A$1:$F$15,3,FALSE)</f>
        <v>Komoda</v>
      </c>
      <c r="I297" t="s">
        <v>453</v>
      </c>
      <c r="J297" t="str">
        <f>VLOOKUP(A297,Klijenti!$A$1:$F$11,2,FALSE)</f>
        <v>Estetski Kutak</v>
      </c>
      <c r="K297" t="str">
        <f>VLOOKUP(A297,Klijenti!$A$1:$F$11,3,FALSE)</f>
        <v>Srbija</v>
      </c>
    </row>
    <row r="298" spans="1:11">
      <c r="E298" s="26"/>
    </row>
    <row r="299" spans="1:11">
      <c r="F299" s="26"/>
    </row>
    <row r="300" spans="1:11">
      <c r="F300" s="26"/>
    </row>
    <row r="301" spans="1:11">
      <c r="F301" s="26"/>
    </row>
    <row r="302" spans="1:11">
      <c r="F302" s="26"/>
    </row>
    <row r="303" spans="1:11">
      <c r="F303" s="26"/>
    </row>
    <row r="304" spans="1:11">
      <c r="F304" s="26"/>
    </row>
    <row r="305" spans="6:6">
      <c r="F305" s="26"/>
    </row>
    <row r="306" spans="6:6">
      <c r="F306" s="26"/>
    </row>
    <row r="307" spans="6:6">
      <c r="F307" s="26"/>
    </row>
    <row r="308" spans="6:6">
      <c r="F308" s="26"/>
    </row>
    <row r="309" spans="6:6">
      <c r="F309" s="26"/>
    </row>
    <row r="310" spans="6:6">
      <c r="F310" s="26"/>
    </row>
    <row r="311" spans="6:6">
      <c r="F311" s="26"/>
    </row>
    <row r="312" spans="6:6">
      <c r="F312" s="26"/>
    </row>
    <row r="313" spans="6:6">
      <c r="F313" s="26"/>
    </row>
    <row r="314" spans="6:6">
      <c r="F314" s="26"/>
    </row>
    <row r="315" spans="6:6">
      <c r="F315" s="26"/>
    </row>
    <row r="316" spans="6:6">
      <c r="F316" s="26"/>
    </row>
    <row r="317" spans="6:6">
      <c r="F317" s="26"/>
    </row>
    <row r="318" spans="6:6">
      <c r="F318" s="26"/>
    </row>
    <row r="319" spans="6:6">
      <c r="F319" s="26"/>
    </row>
    <row r="320" spans="6:6">
      <c r="F320" s="26"/>
    </row>
    <row r="321" spans="6:6">
      <c r="F321" s="26"/>
    </row>
    <row r="322" spans="6:6">
      <c r="F322" s="26"/>
    </row>
    <row r="323" spans="6:6">
      <c r="F323" s="26"/>
    </row>
    <row r="324" spans="6:6">
      <c r="F324" s="26"/>
    </row>
    <row r="325" spans="6:6">
      <c r="F325" s="26"/>
    </row>
    <row r="326" spans="6:6">
      <c r="F326" s="26"/>
    </row>
    <row r="327" spans="6:6">
      <c r="F327" s="26"/>
    </row>
    <row r="328" spans="6:6">
      <c r="F328" s="26"/>
    </row>
    <row r="329" spans="6:6">
      <c r="F329" s="26"/>
    </row>
    <row r="330" spans="6:6">
      <c r="F330" s="26"/>
    </row>
    <row r="331" spans="6:6">
      <c r="F331" s="26"/>
    </row>
    <row r="332" spans="6:6">
      <c r="F332" s="26"/>
    </row>
    <row r="333" spans="6:6">
      <c r="F333" s="26"/>
    </row>
    <row r="334" spans="6:6">
      <c r="F334" s="26"/>
    </row>
    <row r="335" spans="6:6">
      <c r="F335" s="26"/>
    </row>
    <row r="336" spans="6:6">
      <c r="F336" s="26"/>
    </row>
    <row r="337" spans="6:6">
      <c r="F337" s="26"/>
    </row>
    <row r="338" spans="6:6">
      <c r="F338" s="26"/>
    </row>
    <row r="339" spans="6:6">
      <c r="F339" s="26"/>
    </row>
    <row r="340" spans="6:6">
      <c r="F340" s="26"/>
    </row>
    <row r="341" spans="6:6">
      <c r="F341" s="26"/>
    </row>
    <row r="342" spans="6:6">
      <c r="F342" s="26"/>
    </row>
    <row r="343" spans="6:6">
      <c r="F343" s="26"/>
    </row>
    <row r="344" spans="6:6">
      <c r="F344" s="26"/>
    </row>
    <row r="345" spans="6:6">
      <c r="F345" s="26"/>
    </row>
    <row r="346" spans="6:6">
      <c r="F346" s="26"/>
    </row>
    <row r="347" spans="6:6">
      <c r="F347" s="26"/>
    </row>
    <row r="348" spans="6:6">
      <c r="F348" s="26"/>
    </row>
    <row r="349" spans="6:6">
      <c r="F349" s="26"/>
    </row>
    <row r="350" spans="6:6">
      <c r="F350" s="26"/>
    </row>
    <row r="351" spans="6:6">
      <c r="F351" s="26"/>
    </row>
    <row r="352" spans="6:6">
      <c r="F352" s="26"/>
    </row>
    <row r="353" spans="6:6">
      <c r="F353" s="26"/>
    </row>
    <row r="354" spans="6:6">
      <c r="F354" s="26"/>
    </row>
    <row r="355" spans="6:6">
      <c r="F355" s="26"/>
    </row>
    <row r="356" spans="6:6">
      <c r="F356" s="26"/>
    </row>
    <row r="357" spans="6:6">
      <c r="F357" s="26"/>
    </row>
    <row r="358" spans="6:6">
      <c r="F358" s="26"/>
    </row>
    <row r="359" spans="6:6">
      <c r="F359" s="26"/>
    </row>
    <row r="360" spans="6:6">
      <c r="F360" s="26"/>
    </row>
    <row r="361" spans="6:6">
      <c r="F361" s="26"/>
    </row>
    <row r="362" spans="6:6">
      <c r="F362" s="26"/>
    </row>
    <row r="363" spans="6:6">
      <c r="F363" s="26"/>
    </row>
    <row r="364" spans="6:6">
      <c r="F364" s="26"/>
    </row>
    <row r="365" spans="6:6">
      <c r="F365" s="26"/>
    </row>
    <row r="366" spans="6:6">
      <c r="F366" s="26"/>
    </row>
    <row r="367" spans="6:6">
      <c r="F367" s="26"/>
    </row>
    <row r="368" spans="6:6">
      <c r="F368" s="26"/>
    </row>
    <row r="369" spans="6:6">
      <c r="F369" s="26"/>
    </row>
    <row r="370" spans="6:6">
      <c r="F370" s="26"/>
    </row>
    <row r="371" spans="6:6">
      <c r="F371" s="26"/>
    </row>
    <row r="372" spans="6:6">
      <c r="F372" s="26"/>
    </row>
    <row r="373" spans="6:6">
      <c r="F373" s="26"/>
    </row>
    <row r="374" spans="6:6">
      <c r="F374" s="26"/>
    </row>
    <row r="375" spans="6:6">
      <c r="F375" s="26"/>
    </row>
    <row r="376" spans="6:6">
      <c r="F376" s="26"/>
    </row>
    <row r="377" spans="6:6">
      <c r="F377" s="26"/>
    </row>
    <row r="378" spans="6:6">
      <c r="F378" s="26"/>
    </row>
    <row r="379" spans="6:6">
      <c r="F379" s="26"/>
    </row>
    <row r="380" spans="6:6">
      <c r="F380" s="26"/>
    </row>
    <row r="381" spans="6:6">
      <c r="F381" s="26"/>
    </row>
    <row r="382" spans="6:6">
      <c r="F382" s="26"/>
    </row>
  </sheetData>
  <autoFilter ref="A1:F1" xr:uid="{909D8577-EA63-482A-A2C7-E407101BE56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FC6A9-FEC5-4BF4-B315-E1F21FBF6C09}">
  <sheetPr>
    <tabColor theme="5"/>
  </sheetPr>
  <dimension ref="A1:N18"/>
  <sheetViews>
    <sheetView workbookViewId="0">
      <selection activeCell="H26" sqref="H26"/>
    </sheetView>
  </sheetViews>
  <sheetFormatPr defaultRowHeight="14.4"/>
  <cols>
    <col min="2" max="2" width="67.5546875" bestFit="1" customWidth="1"/>
  </cols>
  <sheetData>
    <row r="1" spans="1:14" ht="21">
      <c r="A1" s="39" t="s">
        <v>435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3" spans="1:14">
      <c r="A3" t="s">
        <v>436</v>
      </c>
      <c r="B3" t="s">
        <v>469</v>
      </c>
    </row>
    <row r="5" spans="1:14">
      <c r="A5" s="31" t="s">
        <v>470</v>
      </c>
      <c r="B5" s="31"/>
      <c r="C5" s="31"/>
      <c r="D5" s="31"/>
    </row>
    <row r="7" spans="1:14" ht="21">
      <c r="A7" s="39" t="s">
        <v>437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</row>
    <row r="8" spans="1:14">
      <c r="A8" t="s">
        <v>438</v>
      </c>
    </row>
    <row r="9" spans="1:14">
      <c r="A9" t="s">
        <v>439</v>
      </c>
    </row>
    <row r="10" spans="1:14">
      <c r="A10" t="s">
        <v>440</v>
      </c>
      <c r="F10" s="11"/>
      <c r="G10" s="11"/>
      <c r="H10" s="11"/>
      <c r="I10" s="11"/>
    </row>
    <row r="12" spans="1:14" ht="21">
      <c r="A12" s="39" t="s">
        <v>441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</row>
    <row r="14" spans="1:14">
      <c r="A14" s="30" t="s">
        <v>442</v>
      </c>
    </row>
    <row r="15" spans="1:14">
      <c r="A15" t="s">
        <v>443</v>
      </c>
      <c r="B15" t="s">
        <v>444</v>
      </c>
    </row>
    <row r="16" spans="1:14">
      <c r="A16" t="s">
        <v>445</v>
      </c>
      <c r="B16" t="s">
        <v>446</v>
      </c>
    </row>
    <row r="17" spans="1:2">
      <c r="A17" t="s">
        <v>447</v>
      </c>
      <c r="B17" t="s">
        <v>448</v>
      </c>
    </row>
    <row r="18" spans="1:2">
      <c r="A18" t="s">
        <v>449</v>
      </c>
      <c r="B18" t="s">
        <v>450</v>
      </c>
    </row>
  </sheetData>
  <mergeCells count="3">
    <mergeCell ref="A1:N1"/>
    <mergeCell ref="A7:N7"/>
    <mergeCell ref="A12:N12"/>
  </mergeCells>
  <conditionalFormatting sqref="G10:I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CFC58-D4D6-47F3-B0CE-0ECFA9793C70}">
  <dimension ref="A3:B7"/>
  <sheetViews>
    <sheetView tabSelected="1" topLeftCell="A3" workbookViewId="0">
      <selection activeCell="K30" sqref="K30"/>
    </sheetView>
  </sheetViews>
  <sheetFormatPr defaultRowHeight="14.4"/>
  <cols>
    <col min="1" max="1" width="12.5546875" bestFit="1" customWidth="1"/>
    <col min="2" max="2" width="27.88671875" bestFit="1" customWidth="1"/>
  </cols>
  <sheetData>
    <row r="3" spans="1:2">
      <c r="A3" s="33" t="s">
        <v>459</v>
      </c>
      <c r="B3" t="s">
        <v>464</v>
      </c>
    </row>
    <row r="4" spans="1:2">
      <c r="A4" s="34" t="s">
        <v>461</v>
      </c>
      <c r="B4" s="32">
        <v>2461</v>
      </c>
    </row>
    <row r="5" spans="1:2">
      <c r="A5" s="34" t="s">
        <v>462</v>
      </c>
      <c r="B5" s="32">
        <v>2614</v>
      </c>
    </row>
    <row r="6" spans="1:2">
      <c r="A6" s="34" t="s">
        <v>463</v>
      </c>
      <c r="B6" s="32">
        <v>2687</v>
      </c>
    </row>
    <row r="7" spans="1:2">
      <c r="A7" s="34" t="s">
        <v>460</v>
      </c>
      <c r="B7" s="32">
        <v>7762</v>
      </c>
    </row>
  </sheetData>
  <pageMargins left="0.7" right="0.7" top="0.75" bottom="0.75" header="0.3" footer="0.3"/>
  <pageSetup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8B323-661A-4D6B-A649-3157ADE7078B}">
  <dimension ref="A3:B11"/>
  <sheetViews>
    <sheetView topLeftCell="B1" workbookViewId="0">
      <selection activeCell="H25" sqref="H25"/>
    </sheetView>
  </sheetViews>
  <sheetFormatPr defaultRowHeight="14.4"/>
  <cols>
    <col min="1" max="1" width="20.44140625" bestFit="1" customWidth="1"/>
    <col min="2" max="2" width="27.88671875" bestFit="1" customWidth="1"/>
  </cols>
  <sheetData>
    <row r="3" spans="1:2">
      <c r="A3" s="33" t="s">
        <v>459</v>
      </c>
      <c r="B3" t="s">
        <v>464</v>
      </c>
    </row>
    <row r="4" spans="1:2">
      <c r="A4" s="34" t="s">
        <v>115</v>
      </c>
      <c r="B4" s="38">
        <v>0.20883792836897708</v>
      </c>
    </row>
    <row r="5" spans="1:2">
      <c r="A5" s="34" t="s">
        <v>130</v>
      </c>
      <c r="B5" s="38">
        <v>8.6189126513785103E-2</v>
      </c>
    </row>
    <row r="6" spans="1:2">
      <c r="A6" s="34" t="s">
        <v>123</v>
      </c>
      <c r="B6" s="38">
        <v>0.10435454779695955</v>
      </c>
    </row>
    <row r="7" spans="1:2">
      <c r="A7" s="34" t="s">
        <v>120</v>
      </c>
      <c r="B7" s="38">
        <v>0.33483638237567637</v>
      </c>
    </row>
    <row r="8" spans="1:2">
      <c r="A8" s="34" t="s">
        <v>128</v>
      </c>
      <c r="B8" s="38">
        <v>0.10216439062097397</v>
      </c>
    </row>
    <row r="9" spans="1:2">
      <c r="A9" s="34" t="s">
        <v>118</v>
      </c>
      <c r="B9" s="38">
        <v>9.3661427467147645E-2</v>
      </c>
    </row>
    <row r="10" spans="1:2">
      <c r="A10" s="34" t="s">
        <v>126</v>
      </c>
      <c r="B10" s="38">
        <v>6.9956196856480288E-2</v>
      </c>
    </row>
    <row r="11" spans="1:2">
      <c r="A11" s="34" t="s">
        <v>460</v>
      </c>
      <c r="B11" s="38">
        <v>1</v>
      </c>
    </row>
  </sheetData>
  <pageMargins left="0.7" right="0.7" top="0.75" bottom="0.75" header="0.3" footer="0.3"/>
  <pageSetup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2C702-D65D-4A76-A3B6-4E10BB31BFCA}">
  <dimension ref="A3:L8"/>
  <sheetViews>
    <sheetView topLeftCell="C1" workbookViewId="0">
      <selection activeCell="I14" sqref="I14"/>
    </sheetView>
  </sheetViews>
  <sheetFormatPr defaultRowHeight="14.4"/>
  <cols>
    <col min="1" max="1" width="31.109375" bestFit="1" customWidth="1"/>
    <col min="2" max="2" width="15.5546875" bestFit="1" customWidth="1"/>
    <col min="3" max="3" width="16.88671875" bestFit="1" customWidth="1"/>
    <col min="4" max="4" width="12.6640625" bestFit="1" customWidth="1"/>
    <col min="5" max="5" width="20.6640625" bestFit="1" customWidth="1"/>
    <col min="6" max="6" width="13.88671875" bestFit="1" customWidth="1"/>
    <col min="7" max="7" width="12.6640625" bestFit="1" customWidth="1"/>
    <col min="8" max="8" width="17.21875" bestFit="1" customWidth="1"/>
    <col min="9" max="9" width="16.5546875" bestFit="1" customWidth="1"/>
    <col min="10" max="10" width="10" bestFit="1" customWidth="1"/>
    <col min="11" max="11" width="12.5546875" bestFit="1" customWidth="1"/>
    <col min="12" max="13" width="10.77734375" bestFit="1" customWidth="1"/>
    <col min="14" max="14" width="13.5546875" bestFit="1" customWidth="1"/>
    <col min="15" max="15" width="11.77734375" bestFit="1" customWidth="1"/>
    <col min="16" max="16" width="5.44140625" bestFit="1" customWidth="1"/>
    <col min="17" max="17" width="7" bestFit="1" customWidth="1"/>
    <col min="18" max="18" width="10.77734375" bestFit="1" customWidth="1"/>
  </cols>
  <sheetData>
    <row r="3" spans="1:12">
      <c r="A3" s="37" t="s">
        <v>466</v>
      </c>
      <c r="B3" s="37" t="s">
        <v>465</v>
      </c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>
      <c r="A4" s="37" t="s">
        <v>459</v>
      </c>
      <c r="B4" s="36" t="s">
        <v>114</v>
      </c>
      <c r="C4" s="36" t="s">
        <v>129</v>
      </c>
      <c r="D4" s="36" t="s">
        <v>119</v>
      </c>
      <c r="E4" s="36" t="s">
        <v>131</v>
      </c>
      <c r="F4" s="36" t="s">
        <v>117</v>
      </c>
      <c r="G4" s="36" t="s">
        <v>132</v>
      </c>
      <c r="H4" s="36" t="s">
        <v>121</v>
      </c>
      <c r="I4" s="36" t="s">
        <v>127</v>
      </c>
      <c r="J4" s="36" t="s">
        <v>125</v>
      </c>
      <c r="K4" s="36" t="s">
        <v>122</v>
      </c>
      <c r="L4" s="36" t="s">
        <v>460</v>
      </c>
    </row>
    <row r="5" spans="1:12">
      <c r="A5" s="35" t="s">
        <v>461</v>
      </c>
      <c r="B5" s="36">
        <v>23.777777777777779</v>
      </c>
      <c r="C5" s="36">
        <v>20</v>
      </c>
      <c r="D5" s="36">
        <v>27.307692307692307</v>
      </c>
      <c r="E5" s="36">
        <v>31.272727272727273</v>
      </c>
      <c r="F5" s="36">
        <v>35.4</v>
      </c>
      <c r="G5" s="36">
        <v>29.444444444444443</v>
      </c>
      <c r="H5" s="36">
        <v>24.833333333333332</v>
      </c>
      <c r="I5" s="36">
        <v>29.3</v>
      </c>
      <c r="J5" s="36">
        <v>18.363636363636363</v>
      </c>
      <c r="K5" s="36">
        <v>26</v>
      </c>
      <c r="L5" s="36">
        <v>25.905263157894737</v>
      </c>
    </row>
    <row r="6" spans="1:12">
      <c r="A6" s="35" t="s">
        <v>462</v>
      </c>
      <c r="B6" s="36">
        <v>26.333333333333332</v>
      </c>
      <c r="C6" s="36">
        <v>20.833333333333332</v>
      </c>
      <c r="D6" s="36">
        <v>27.8</v>
      </c>
      <c r="E6" s="36">
        <v>33.4</v>
      </c>
      <c r="F6" s="36">
        <v>27.888888888888889</v>
      </c>
      <c r="G6" s="36">
        <v>25.4</v>
      </c>
      <c r="H6" s="36">
        <v>31.8</v>
      </c>
      <c r="I6" s="36">
        <v>27.222222222222221</v>
      </c>
      <c r="J6" s="36">
        <v>22.5</v>
      </c>
      <c r="K6" s="36">
        <v>29.125</v>
      </c>
      <c r="L6" s="36">
        <v>27.808510638297872</v>
      </c>
    </row>
    <row r="7" spans="1:12">
      <c r="A7" s="35" t="s">
        <v>463</v>
      </c>
      <c r="B7" s="36">
        <v>23.636363636363637</v>
      </c>
      <c r="C7" s="36">
        <v>26.4</v>
      </c>
      <c r="D7" s="36">
        <v>25</v>
      </c>
      <c r="E7" s="36">
        <v>21.09090909090909</v>
      </c>
      <c r="F7" s="36">
        <v>21.357142857142858</v>
      </c>
      <c r="G7" s="36">
        <v>26.692307692307693</v>
      </c>
      <c r="H7" s="36">
        <v>27.666666666666668</v>
      </c>
      <c r="I7" s="36">
        <v>25.5</v>
      </c>
      <c r="J7" s="36">
        <v>26.833333333333332</v>
      </c>
      <c r="K7" s="36">
        <v>28.214285714285715</v>
      </c>
      <c r="L7" s="36">
        <v>25.11214953271028</v>
      </c>
    </row>
    <row r="8" spans="1:12">
      <c r="A8" s="35" t="s">
        <v>460</v>
      </c>
      <c r="B8" s="36">
        <v>24.517241379310345</v>
      </c>
      <c r="C8" s="36">
        <v>22.3</v>
      </c>
      <c r="D8" s="36">
        <v>26.8125</v>
      </c>
      <c r="E8" s="36">
        <v>28.4375</v>
      </c>
      <c r="F8" s="36">
        <v>25.964285714285715</v>
      </c>
      <c r="G8" s="36">
        <v>27.0625</v>
      </c>
      <c r="H8" s="36">
        <v>29.166666666666668</v>
      </c>
      <c r="I8" s="36">
        <v>27.344827586206897</v>
      </c>
      <c r="J8" s="36">
        <v>21.72</v>
      </c>
      <c r="K8" s="36">
        <v>27.931034482758619</v>
      </c>
      <c r="L8" s="36">
        <v>26.222972972972972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46D52-B3E5-4916-9CAA-6D620ACEE92C}">
  <dimension ref="A3:C10"/>
  <sheetViews>
    <sheetView topLeftCell="B2" workbookViewId="0">
      <selection activeCell="A18" sqref="A18"/>
    </sheetView>
  </sheetViews>
  <sheetFormatPr defaultRowHeight="14.4"/>
  <cols>
    <col min="1" max="1" width="27.88671875" bestFit="1" customWidth="1"/>
    <col min="2" max="2" width="23.44140625" bestFit="1" customWidth="1"/>
    <col min="3" max="4" width="10.77734375" bestFit="1" customWidth="1"/>
    <col min="5" max="5" width="23.44140625" bestFit="1" customWidth="1"/>
    <col min="6" max="6" width="9.21875" bestFit="1" customWidth="1"/>
    <col min="7" max="8" width="10.77734375" bestFit="1" customWidth="1"/>
  </cols>
  <sheetData>
    <row r="3" spans="1:3">
      <c r="A3" s="33" t="s">
        <v>464</v>
      </c>
      <c r="B3" s="33" t="s">
        <v>465</v>
      </c>
    </row>
    <row r="4" spans="1:3">
      <c r="A4" s="33" t="s">
        <v>459</v>
      </c>
      <c r="B4" t="s">
        <v>85</v>
      </c>
      <c r="C4" t="s">
        <v>460</v>
      </c>
    </row>
    <row r="5" spans="1:3">
      <c r="A5" s="34">
        <v>171444</v>
      </c>
      <c r="B5" s="32">
        <v>69</v>
      </c>
      <c r="C5" s="32">
        <v>69</v>
      </c>
    </row>
    <row r="6" spans="1:3">
      <c r="A6" s="34">
        <v>243994</v>
      </c>
      <c r="B6" s="32">
        <v>154</v>
      </c>
      <c r="C6" s="32">
        <v>154</v>
      </c>
    </row>
    <row r="7" spans="1:3">
      <c r="A7" s="34">
        <v>443480</v>
      </c>
      <c r="B7" s="32">
        <v>84</v>
      </c>
      <c r="C7" s="32">
        <v>84</v>
      </c>
    </row>
    <row r="8" spans="1:3">
      <c r="A8" s="34">
        <v>466126</v>
      </c>
      <c r="B8" s="32">
        <v>84</v>
      </c>
      <c r="C8" s="32">
        <v>84</v>
      </c>
    </row>
    <row r="9" spans="1:3">
      <c r="A9" s="34">
        <v>688897</v>
      </c>
      <c r="B9" s="32">
        <v>67</v>
      </c>
      <c r="C9" s="32">
        <v>67</v>
      </c>
    </row>
    <row r="10" spans="1:3">
      <c r="A10" s="34" t="s">
        <v>460</v>
      </c>
      <c r="B10" s="32">
        <v>458</v>
      </c>
      <c r="C10" s="32">
        <v>458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3459B-08D3-45E5-B43F-AF4F8FAC0D0F}">
  <dimension ref="A1:M11"/>
  <sheetViews>
    <sheetView zoomScale="71" zoomScaleNormal="71" workbookViewId="0">
      <selection activeCell="X28" sqref="X28"/>
    </sheetView>
  </sheetViews>
  <sheetFormatPr defaultRowHeight="14.4"/>
  <cols>
    <col min="1" max="1" width="8.88671875" customWidth="1"/>
  </cols>
  <sheetData>
    <row r="1" spans="1:13" ht="14.4" customHeight="1">
      <c r="A1" s="40" t="s">
        <v>467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ht="14.4" customHeigh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ht="14.4" customHeight="1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spans="1:13" ht="14.4" customHeight="1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spans="1:13" ht="14.4" customHeight="1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</row>
    <row r="6" spans="1:13" ht="14.4" customHeight="1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</row>
    <row r="7" spans="1:13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</row>
    <row r="8" spans="1:13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</row>
    <row r="9" spans="1:13">
      <c r="A9" s="42" t="s">
        <v>468</v>
      </c>
      <c r="B9" s="43"/>
      <c r="C9" s="43"/>
      <c r="D9" s="43"/>
      <c r="E9" s="43"/>
      <c r="F9" s="43"/>
      <c r="G9" s="43"/>
      <c r="H9" s="43"/>
      <c r="I9" s="44">
        <v>7762</v>
      </c>
      <c r="J9" s="44"/>
      <c r="K9" s="44"/>
      <c r="L9" s="44"/>
      <c r="M9" s="44"/>
    </row>
    <row r="10" spans="1:13">
      <c r="A10" s="43"/>
      <c r="B10" s="43"/>
      <c r="C10" s="43"/>
      <c r="D10" s="43"/>
      <c r="E10" s="43"/>
      <c r="F10" s="43"/>
      <c r="G10" s="43"/>
      <c r="H10" s="43"/>
      <c r="I10" s="44"/>
      <c r="J10" s="44"/>
      <c r="K10" s="44"/>
      <c r="L10" s="44"/>
      <c r="M10" s="44"/>
    </row>
    <row r="11" spans="1:13">
      <c r="A11" s="43"/>
      <c r="B11" s="43"/>
      <c r="C11" s="43"/>
      <c r="D11" s="43"/>
      <c r="E11" s="43"/>
      <c r="F11" s="43"/>
      <c r="G11" s="43"/>
      <c r="H11" s="43"/>
      <c r="I11" s="44"/>
      <c r="J11" s="44"/>
      <c r="K11" s="44"/>
      <c r="L11" s="44"/>
      <c r="M11" s="44"/>
    </row>
  </sheetData>
  <mergeCells count="3">
    <mergeCell ref="A1:M8"/>
    <mergeCell ref="A9:H11"/>
    <mergeCell ref="I9:M11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0FF5C-543C-42A1-A37B-F0FA5D11A1F1}">
  <sheetPr>
    <tabColor rgb="FFFFFF00"/>
  </sheetPr>
  <dimension ref="A3:G10"/>
  <sheetViews>
    <sheetView topLeftCell="A4" workbookViewId="0">
      <selection activeCell="A3" sqref="A3:G10"/>
    </sheetView>
  </sheetViews>
  <sheetFormatPr defaultRowHeight="14.4"/>
  <cols>
    <col min="1" max="1" width="27.88671875" bestFit="1" customWidth="1"/>
    <col min="2" max="2" width="15.5546875" bestFit="1" customWidth="1"/>
    <col min="3" max="3" width="23" bestFit="1" customWidth="1"/>
    <col min="4" max="4" width="21.5546875" bestFit="1" customWidth="1"/>
    <col min="5" max="5" width="23.44140625" bestFit="1" customWidth="1"/>
    <col min="6" max="6" width="9.21875" bestFit="1" customWidth="1"/>
    <col min="7" max="7" width="10.77734375" bestFit="1" customWidth="1"/>
  </cols>
  <sheetData>
    <row r="3" spans="1:7">
      <c r="A3" s="33" t="s">
        <v>464</v>
      </c>
      <c r="B3" s="33" t="s">
        <v>465</v>
      </c>
    </row>
    <row r="4" spans="1:7">
      <c r="A4" s="33" t="s">
        <v>459</v>
      </c>
      <c r="B4" t="s">
        <v>80</v>
      </c>
      <c r="C4" t="s">
        <v>77</v>
      </c>
      <c r="D4" t="s">
        <v>96</v>
      </c>
      <c r="E4" t="s">
        <v>85</v>
      </c>
      <c r="F4" t="s">
        <v>101</v>
      </c>
      <c r="G4" t="s">
        <v>460</v>
      </c>
    </row>
    <row r="5" spans="1:7">
      <c r="A5" s="34">
        <v>171444</v>
      </c>
      <c r="B5" s="32">
        <v>211</v>
      </c>
      <c r="C5" s="32">
        <v>956</v>
      </c>
      <c r="D5" s="32">
        <v>54</v>
      </c>
      <c r="E5" s="32">
        <v>69</v>
      </c>
      <c r="F5" s="32">
        <v>296</v>
      </c>
      <c r="G5" s="32">
        <v>1586</v>
      </c>
    </row>
    <row r="6" spans="1:7">
      <c r="A6" s="34">
        <v>243994</v>
      </c>
      <c r="B6" s="32">
        <v>315</v>
      </c>
      <c r="C6" s="32">
        <v>776</v>
      </c>
      <c r="D6" s="32">
        <v>158</v>
      </c>
      <c r="E6" s="32">
        <v>154</v>
      </c>
      <c r="F6" s="32">
        <v>184</v>
      </c>
      <c r="G6" s="32">
        <v>1587</v>
      </c>
    </row>
    <row r="7" spans="1:7">
      <c r="A7" s="34">
        <v>443480</v>
      </c>
      <c r="B7" s="32">
        <v>169</v>
      </c>
      <c r="C7" s="32">
        <v>1050</v>
      </c>
      <c r="D7" s="32">
        <v>115</v>
      </c>
      <c r="E7" s="32">
        <v>84</v>
      </c>
      <c r="F7" s="32">
        <v>173</v>
      </c>
      <c r="G7" s="32">
        <v>1591</v>
      </c>
    </row>
    <row r="8" spans="1:7">
      <c r="A8" s="34">
        <v>466126</v>
      </c>
      <c r="B8" s="32">
        <v>226</v>
      </c>
      <c r="C8" s="32">
        <v>978</v>
      </c>
      <c r="D8" s="32">
        <v>95</v>
      </c>
      <c r="E8" s="32">
        <v>84</v>
      </c>
      <c r="F8" s="32">
        <v>220</v>
      </c>
      <c r="G8" s="32">
        <v>1603</v>
      </c>
    </row>
    <row r="9" spans="1:7">
      <c r="A9" s="34">
        <v>688897</v>
      </c>
      <c r="B9" s="32">
        <v>270</v>
      </c>
      <c r="C9" s="32">
        <v>726</v>
      </c>
      <c r="D9" s="32">
        <v>186</v>
      </c>
      <c r="E9" s="32">
        <v>67</v>
      </c>
      <c r="F9" s="32">
        <v>146</v>
      </c>
      <c r="G9" s="32">
        <v>1395</v>
      </c>
    </row>
    <row r="10" spans="1:7">
      <c r="A10" s="34" t="s">
        <v>460</v>
      </c>
      <c r="B10" s="32">
        <v>1191</v>
      </c>
      <c r="C10" s="32">
        <v>4486</v>
      </c>
      <c r="D10" s="32">
        <v>608</v>
      </c>
      <c r="E10" s="32">
        <v>458</v>
      </c>
      <c r="F10" s="32">
        <v>1019</v>
      </c>
      <c r="G10" s="32">
        <v>7762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31CEBEFAEBAB41BB17A346D1B4BB60" ma:contentTypeVersion="3" ma:contentTypeDescription="Create a new document." ma:contentTypeScope="" ma:versionID="bcda36dd85ed82351dcd8d601f923c7a">
  <xsd:schema xmlns:xsd="http://www.w3.org/2001/XMLSchema" xmlns:xs="http://www.w3.org/2001/XMLSchema" xmlns:p="http://schemas.microsoft.com/office/2006/metadata/properties" xmlns:ns2="71e66d0a-e8c6-4bd4-af54-2869b7281923" targetNamespace="http://schemas.microsoft.com/office/2006/metadata/properties" ma:root="true" ma:fieldsID="4ea4f84b9e0012e7d5aa01fae5424d4b" ns2:_="">
    <xsd:import namespace="71e66d0a-e8c6-4bd4-af54-2869b72819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66d0a-e8c6-4bd4-af54-2869b72819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Props1.xml><?xml version="1.0" encoding="utf-8"?>
<ds:datastoreItem xmlns:ds="http://schemas.openxmlformats.org/officeDocument/2006/customXml" ds:itemID="{04E41C24-B143-4E0E-8866-ABA5453BB1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756427-8BD1-48F4-AAE2-EDE66FC4479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6D98ADA-20F8-487C-BFEC-1B1E6926E362}">
  <ds:schemaRefs>
    <ds:schemaRef ds:uri="http://www.w3.org/2001/XMLSchema"/>
    <ds:schemaRef ds:uri="http://microsoft.data.visualization.Client.Excel/1.0"/>
  </ds:schemaRefs>
</ds:datastoreItem>
</file>

<file path=customXml/itemProps4.xml><?xml version="1.0" encoding="utf-8"?>
<ds:datastoreItem xmlns:ds="http://schemas.openxmlformats.org/officeDocument/2006/customXml" ds:itemID="{84B07608-56A5-4C15-BA86-6801A61D31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e66d0a-e8c6-4bd4-af54-2869b72819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BEAFE355-B9B7-4A61-B4F3-E427912A9A57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Zaposleni</vt:lpstr>
      <vt:lpstr>Klijenti</vt:lpstr>
      <vt:lpstr>Proizvodi</vt:lpstr>
      <vt:lpstr>Prodaja</vt:lpstr>
      <vt:lpstr>Prodaja 1</vt:lpstr>
      <vt:lpstr>Zahtevi</vt:lpstr>
      <vt:lpstr>zahtev1</vt:lpstr>
      <vt:lpstr>zahtev2</vt:lpstr>
      <vt:lpstr>zahtev3</vt:lpstr>
      <vt:lpstr>zahtev4</vt:lpstr>
      <vt:lpstr>DASHBOARD</vt:lpstr>
      <vt:lpstr>Ukupna prodaja po kateg.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Milena J. Popović</dc:creator>
  <cp:keywords/>
  <dc:description/>
  <cp:lastModifiedBy>Sava Protić | 2023/0164</cp:lastModifiedBy>
  <cp:revision/>
  <dcterms:created xsi:type="dcterms:W3CDTF">2024-02-05T10:46:58Z</dcterms:created>
  <dcterms:modified xsi:type="dcterms:W3CDTF">2025-12-20T23:18:50Z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0x0101005231CEBEFAEBAB41BB17A346D1B4BB60</vt:lpwstr>
  </property>
</Properties>
</file>